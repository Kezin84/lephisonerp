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B21C2F-B2AC-4DD9-8DF3-87AC729B6F08}" xr6:coauthVersionLast="47" xr6:coauthVersionMax="47" xr10:uidLastSave="{00000000-0000-0000-0000-000000000000}"/>
  <bookViews>
    <workbookView xWindow="28680" yWindow="-900" windowWidth="29040" windowHeight="15720" xr2:uid="{80076296-D578-4845-87B4-5FE47DBA96AC}"/>
  </bookViews>
  <sheets>
    <sheet name="XGS 3100 STD (3)" sheetId="3" r:id="rId1"/>
    <sheet name="XGS 3100 STD (2)" sheetId="1" r:id="rId2"/>
    <sheet name="XGS 3100 DL" sheetId="2" r:id="rId3"/>
  </sheets>
  <definedNames>
    <definedName name="_Fill" hidden="1">#REF!</definedName>
    <definedName name="_xlnm.Print_Area" localSheetId="2">'XGS 3100 DL'!$A$1:$I$44</definedName>
    <definedName name="_xlnm.Print_Area" localSheetId="1">'XGS 3100 STD (2)'!$A$1:$I$47</definedName>
    <definedName name="_xlnm.Print_Area" localSheetId="0">'XGS 3100 STD (3)'!$A$1:$I$47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H16" i="3"/>
  <c r="G16" i="3"/>
  <c r="F13" i="3"/>
  <c r="F12" i="3"/>
  <c r="J13" i="3" l="1"/>
  <c r="M13" i="3" s="1"/>
  <c r="O13" i="3" s="1"/>
  <c r="G13" i="3" s="1"/>
  <c r="I13" i="3" s="1"/>
  <c r="M12" i="3"/>
  <c r="O12" i="3" s="1"/>
  <c r="G12" i="3" s="1"/>
  <c r="I13" i="2"/>
  <c r="H13" i="2"/>
  <c r="G13" i="2"/>
  <c r="K12" i="2"/>
  <c r="H12" i="3" l="1"/>
  <c r="J12" i="2"/>
  <c r="M12" i="2" s="1"/>
  <c r="O12" i="2" s="1"/>
  <c r="M11" i="2"/>
  <c r="O11" i="2" s="1"/>
  <c r="M13" i="1"/>
  <c r="O13" i="1" s="1"/>
  <c r="F13" i="1" s="1"/>
  <c r="G13" i="1" s="1"/>
  <c r="I13" i="1" s="1"/>
  <c r="J13" i="1"/>
  <c r="M12" i="1"/>
  <c r="O12" i="1" s="1"/>
  <c r="F12" i="1" s="1"/>
  <c r="G12" i="1" s="1"/>
  <c r="I12" i="3" l="1"/>
  <c r="G12" i="2"/>
  <c r="I12" i="2" s="1"/>
  <c r="G11" i="2"/>
  <c r="H11" i="2" s="1"/>
  <c r="G16" i="1"/>
  <c r="H12" i="1"/>
  <c r="I11" i="2" l="1"/>
  <c r="H16" i="1"/>
  <c r="I16" i="1" s="1"/>
  <c r="I12" i="1"/>
</calcChain>
</file>

<file path=xl/sharedStrings.xml><?xml version="1.0" encoding="utf-8"?>
<sst xmlns="http://schemas.openxmlformats.org/spreadsheetml/2006/main" count="145" uniqueCount="62">
  <si>
    <t>Kính gởi : NAVIGOS GROUP VIETNAM JSC</t>
  </si>
  <si>
    <t>Ngày : 24/10/2023</t>
  </si>
  <si>
    <t>Địa chỉ : Tầng 20 Tòa nhà e.town Central, 11 Đoàn Văn Bơ, Phường Xóm Chiếu, TP Hồ Chí Minh, Việt Nam</t>
  </si>
  <si>
    <t>Người nhận :  Mr. Hổ</t>
  </si>
  <si>
    <t>BẢNG BÁO GIÁ</t>
  </si>
  <si>
    <t>Công ty Nam Trường Sơn trân trọng gởi đến Quý khách hàng bảng báo giá như sau:</t>
  </si>
  <si>
    <t>STT</t>
  </si>
  <si>
    <t>MODEL</t>
  </si>
  <si>
    <t>DIỄN GIẢI</t>
  </si>
  <si>
    <t>S.L</t>
  </si>
  <si>
    <t>ĐƠN GIÁ 
(VNĐ)</t>
  </si>
  <si>
    <t>THÀNH TIỀN
TRƯƠC THUẾ</t>
  </si>
  <si>
    <t>THUẾ
VAT</t>
  </si>
  <si>
    <t>THÀNH TIỀN
SAU THUẾ</t>
  </si>
  <si>
    <t>FIREWALL SOPHOS XGS 3300</t>
  </si>
  <si>
    <t>off</t>
  </si>
  <si>
    <t>usd sau off</t>
  </si>
  <si>
    <t>ty gia</t>
  </si>
  <si>
    <t>giá sau Off</t>
  </si>
  <si>
    <t>XGS 3100</t>
  </si>
  <si>
    <r>
      <rPr>
        <b/>
        <sz val="11"/>
        <color theme="8" tint="-0.249977111117893"/>
        <rFont val="Arial"/>
        <family val="2"/>
      </rPr>
      <t>Thiết bị tường lửa thế hệ mới XGS 3300</t>
    </r>
    <r>
      <rPr>
        <sz val="11"/>
        <rFont val="Arial"/>
        <family val="2"/>
      </rPr>
      <t xml:space="preserve">
Sophos XGS 3100 Hardware Appliance:
XGS 3100 HW Appliance with 8 GE + 2 SFP + 2 SFP+ ports, 1 expansion bay for optional Flexi Port module, SSD + Base License (incl. FW, VPN &amp; Wireless) for unlimited users + power cable.</t>
    </r>
  </si>
  <si>
    <t>Bản quyền
Standard Protection</t>
  </si>
  <si>
    <r>
      <rPr>
        <b/>
        <sz val="11"/>
        <color theme="8" tint="-0.249977111117893"/>
        <rFont val="Arial"/>
        <family val="2"/>
      </rPr>
      <t>3-Year Standard Protection Subscription for XGS3100</t>
    </r>
    <r>
      <rPr>
        <b/>
        <sz val="11"/>
        <color rgb="FF0000CC"/>
        <rFont val="Arial"/>
        <family val="2"/>
      </rPr>
      <t>:</t>
    </r>
    <r>
      <rPr>
        <sz val="11"/>
        <color theme="1"/>
        <rFont val="Arial"/>
        <family val="2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  <r>
      <rPr>
        <sz val="11"/>
        <rFont val="Arial"/>
        <family val="2"/>
      </rPr>
      <t xml:space="preserve">
</t>
    </r>
    <r>
      <rPr>
        <sz val="11"/>
        <color theme="8" tint="-0.249977111117893"/>
        <rFont val="Arial"/>
        <family val="2"/>
      </rPr>
      <t>3-Enhanced to Enhanced Plus Upgrade</t>
    </r>
  </si>
  <si>
    <t>DỊCH VỤ TRIỂN KHAI TRỌN GÓI</t>
  </si>
  <si>
    <t>NTS Service</t>
  </si>
  <si>
    <t xml:space="preserve"> - Cài đặt cấu hình hệ thống Firewall, VPN, IPS
 - Cấu hình hệ thống Webfiltering
 - Cấu hình hệ thống We Server
 - Hướng dẫn sử dụng và chuyển giao tài liệu
 - Hỗ trợ onsite trong vòng 2 giờ </t>
  </si>
  <si>
    <t>TỔNG CỘNG</t>
  </si>
  <si>
    <t>CÁC ĐIỀU KHOẢN THƯƠNG MẠI KHÁC:</t>
  </si>
  <si>
    <t>Thuế VAT: Giá trên đã bao gồm thuế GTGT;</t>
  </si>
  <si>
    <t>Bảng giá nêu trên không bao gồm phí cài đặt. Bảo hành: 01 năm</t>
  </si>
  <si>
    <t>Giao hàng: trong vòng 04-06 tuần kể từ ngày ký xác nhận đặt hàng.</t>
  </si>
  <si>
    <t>Phương thức thanh toán: Thanh toán bằng tiền mặt / chuyển khoản .</t>
  </si>
  <si>
    <t xml:space="preserve"> - Đặt hàng 30% và thanh toán 70% giá trị còn lại HĐ trong vòng 10 ngày sau khi giao hàng và hóa đơn tài chính.</t>
  </si>
  <si>
    <t>TÀI KHOẢN NGÂN HÀNG:</t>
  </si>
  <si>
    <t xml:space="preserve">Đơn vị thụ hưởng:  CÔNG TY CP TÍCH HỢP HỆ THỐNG NAM TRƯỜNG SƠN </t>
  </si>
  <si>
    <t>STK 1 (Bank A/C): 199458149 tại NH TMCP Á Châu - CN Phan Đăng Lưu - P. GD Lê Quang Định</t>
  </si>
  <si>
    <r>
      <t>Bảng giá có giá trị trong vòng</t>
    </r>
    <r>
      <rPr>
        <b/>
        <sz val="10"/>
        <color indexed="8"/>
        <rFont val="Arial"/>
        <family val="2"/>
      </rPr>
      <t xml:space="preserve"> 30 ngày</t>
    </r>
    <r>
      <rPr>
        <sz val="10"/>
        <color indexed="8"/>
        <rFont val="Arial"/>
        <family val="2"/>
      </rPr>
      <t xml:space="preserve"> kể từ ngày báo giá.</t>
    </r>
  </si>
  <si>
    <t xml:space="preserve">
9</t>
  </si>
  <si>
    <t>Phạt 0.5%/ ngày nếu thanh toán chậm theo giá trị của PO.</t>
  </si>
  <si>
    <t>Phạt 30% giá trị đơn hàng nếu hủy P.O đã ký.</t>
  </si>
  <si>
    <t>Phạt 0.5%/ ngày nếu giao hàng chậm.</t>
  </si>
  <si>
    <t xml:space="preserve">- Đơn đặt hàng chỉ được tiến hành sau khi Bên Mua Hàng đồng ý với các điều khoản nêu trên bằng cách </t>
  </si>
  <si>
    <t xml:space="preserve">  kí và đóng dấu vào Xác nhận đơn hàng này và gởi lại cho Bên Bán hàng</t>
  </si>
  <si>
    <t>Trân Trọng,</t>
  </si>
  <si>
    <t>Xác nhận đặt hàng</t>
  </si>
  <si>
    <t>Le Phi Son  -  090 813 7488</t>
  </si>
  <si>
    <r>
      <t xml:space="preserve"> </t>
    </r>
    <r>
      <rPr>
        <b/>
        <sz val="9.5"/>
        <color indexed="30"/>
        <rFont val="Arial"/>
        <family val="2"/>
      </rPr>
      <t>NTS System Integration Corp.</t>
    </r>
  </si>
  <si>
    <t xml:space="preserve"> Add: 20 Tang Bat Ho Street, Ward 11, Binh Thanh District, Ho Chi Minh City, VN</t>
  </si>
  <si>
    <t xml:space="preserve"> T:  (028) 3841 8080 | F:  (028) 3841 5555 | E: info@ntssi.vn | W: www.ntssi.vn </t>
  </si>
  <si>
    <t>Thành tiền</t>
  </si>
  <si>
    <t>Tên hàng</t>
  </si>
  <si>
    <t>Số lượng</t>
  </si>
  <si>
    <t>Đơn giá</t>
  </si>
  <si>
    <t>Thuế VAT 8%</t>
  </si>
  <si>
    <t>Thành tiền sau VAT</t>
  </si>
  <si>
    <r>
      <rPr>
        <b/>
        <sz val="9"/>
        <rFont val="Times New Roman"/>
        <family val="1"/>
      </rPr>
      <t>Sophos XGS 3100 Hardware Appliance</t>
    </r>
    <r>
      <rPr>
        <sz val="9"/>
        <rFont val="Times New Roman"/>
        <family val="1"/>
      </rPr>
      <t>:
XGS 3100 HW Appliance with 8 GE + 2 SFP + 2 SFP+ ports, 1 expansion bay for optional Flexi Port module, SSD + Base License (incl. FW, VPN &amp; Wireless) for unlimited users + power cable.</t>
    </r>
  </si>
  <si>
    <r>
      <rPr>
        <b/>
        <sz val="9"/>
        <rFont val="Times New Roman"/>
        <family val="1"/>
      </rPr>
      <t>3-Year Standard Protection Subscription for XGS3100</t>
    </r>
    <r>
      <rPr>
        <sz val="9"/>
        <rFont val="Times New Roman"/>
        <family val="1"/>
      </rPr>
      <t xml:space="preserve">: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
</t>
    </r>
    <r>
      <rPr>
        <b/>
        <sz val="9"/>
        <rFont val="Times New Roman"/>
        <family val="1"/>
      </rPr>
      <t>3-Enhanced to Enhanced Plus Upgrade</t>
    </r>
  </si>
  <si>
    <t>FIREWALL SOPHOS XGS 3100</t>
  </si>
  <si>
    <t>Người nhận : Ms Ngân</t>
  </si>
  <si>
    <t>THUẾ
VAT 8%</t>
  </si>
  <si>
    <r>
      <rPr>
        <b/>
        <sz val="11"/>
        <color theme="8" tint="-0.249977111117893"/>
        <rFont val="Arial"/>
        <family val="2"/>
      </rPr>
      <t>Thiết bị tường lửa thế hệ mới XGS 3100</t>
    </r>
    <r>
      <rPr>
        <sz val="11"/>
        <rFont val="Arial"/>
        <family val="2"/>
      </rPr>
      <t xml:space="preserve">
Sophos XGS 3100 Hardware Appliance:
XGS 3100 HW Appliance with 8 GE + 2 SFP + 2 SFP+ ports, 1 expansion bay for optional Flexi Port module, SSD + Base License (incl. FW, VPN &amp; Wireless) for unlimited users + power cable.</t>
    </r>
  </si>
  <si>
    <t>Ngày :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</si>
</sst>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3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theme="3" tint="-0.249977111117893"/>
      <name val="Arial"/>
      <family val="2"/>
    </font>
    <font>
      <sz val="10"/>
      <color indexed="8"/>
      <name val="Times New Roman"/>
      <family val="1"/>
    </font>
    <font>
      <b/>
      <sz val="9"/>
      <color theme="3"/>
      <name val="Arial"/>
      <family val="2"/>
    </font>
    <font>
      <b/>
      <sz val="11"/>
      <name val="Arial"/>
      <family val="2"/>
    </font>
    <font>
      <i/>
      <sz val="11"/>
      <color indexed="10"/>
      <name val="Arial"/>
      <family val="2"/>
    </font>
    <font>
      <i/>
      <sz val="11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i/>
      <sz val="11"/>
      <color indexed="8"/>
      <name val="Arial"/>
      <family val="2"/>
    </font>
    <font>
      <i/>
      <sz val="11"/>
      <color indexed="8"/>
      <name val="Times New Roman"/>
      <family val="1"/>
    </font>
    <font>
      <sz val="11"/>
      <name val="Arial"/>
      <family val="2"/>
    </font>
    <font>
      <b/>
      <sz val="14"/>
      <color rgb="FF0000FF"/>
      <name val="Arial"/>
      <family val="2"/>
    </font>
    <font>
      <i/>
      <sz val="10"/>
      <color indexed="8"/>
      <name val="Times New Roman"/>
      <family val="1"/>
    </font>
    <font>
      <b/>
      <u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8" tint="-0.249977111117893"/>
      <name val="Arial"/>
      <family val="2"/>
    </font>
    <font>
      <b/>
      <sz val="11"/>
      <color rgb="FF0000CC"/>
      <name val="Arial"/>
      <family val="2"/>
    </font>
    <font>
      <sz val="11"/>
      <color theme="1"/>
      <name val="Arial"/>
      <family val="2"/>
    </font>
    <font>
      <sz val="11"/>
      <color theme="8" tint="-0.249977111117893"/>
      <name val="Arial"/>
      <family val="2"/>
    </font>
    <font>
      <sz val="11"/>
      <color indexed="56"/>
      <name val="Arial"/>
      <family val="2"/>
    </font>
    <font>
      <b/>
      <u/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name val="Times New Roman"/>
      <family val="1"/>
    </font>
    <font>
      <b/>
      <i/>
      <sz val="10"/>
      <name val="Arial"/>
      <family val="2"/>
    </font>
    <font>
      <b/>
      <sz val="10"/>
      <color rgb="FF0000CC"/>
      <name val="Arial"/>
      <family val="2"/>
    </font>
    <font>
      <b/>
      <u/>
      <sz val="11"/>
      <name val="Arial"/>
      <family val="2"/>
    </font>
    <font>
      <sz val="11"/>
      <name val="Calibri"/>
      <family val="2"/>
    </font>
    <font>
      <b/>
      <sz val="9.5"/>
      <color indexed="30"/>
      <name val="Arial"/>
      <family val="2"/>
    </font>
    <font>
      <sz val="9.5"/>
      <color rgb="FF0070C0"/>
      <name val="Arial"/>
      <family val="2"/>
    </font>
    <font>
      <u/>
      <sz val="11"/>
      <color theme="10"/>
      <name val="Calibri"/>
      <family val="2"/>
      <charset val="163"/>
      <scheme val="minor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6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43" fontId="7" fillId="0" borderId="0" xfId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top"/>
    </xf>
    <xf numFmtId="3" fontId="8" fillId="0" borderId="0" xfId="0" applyNumberFormat="1" applyFont="1" applyAlignment="1">
      <alignment vertical="top"/>
    </xf>
    <xf numFmtId="164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top"/>
    </xf>
    <xf numFmtId="3" fontId="1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horizontal="center" vertical="top"/>
    </xf>
    <xf numFmtId="3" fontId="16" fillId="0" borderId="0" xfId="0" applyNumberFormat="1" applyFont="1" applyAlignment="1">
      <alignment vertical="top"/>
    </xf>
    <xf numFmtId="164" fontId="16" fillId="0" borderId="0" xfId="0" applyNumberFormat="1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5" fontId="5" fillId="3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vertical="center" wrapText="1"/>
    </xf>
    <xf numFmtId="9" fontId="5" fillId="0" borderId="0" xfId="2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2" fillId="0" borderId="1" xfId="0" quotePrefix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vertical="center" wrapText="1"/>
    </xf>
    <xf numFmtId="165" fontId="5" fillId="0" borderId="1" xfId="2" applyNumberFormat="1" applyFont="1" applyBorder="1" applyAlignment="1">
      <alignment horizontal="center" vertical="center" wrapText="1"/>
    </xf>
    <xf numFmtId="41" fontId="5" fillId="5" borderId="1" xfId="0" applyNumberFormat="1" applyFont="1" applyFill="1" applyBorder="1" applyAlignment="1">
      <alignment vertical="center" wrapText="1"/>
    </xf>
    <xf numFmtId="4" fontId="9" fillId="0" borderId="0" xfId="0" applyNumberFormat="1" applyFont="1" applyAlignment="1">
      <alignment horizontal="center" vertical="top"/>
    </xf>
    <xf numFmtId="3" fontId="17" fillId="0" borderId="0" xfId="0" applyNumberFormat="1" applyFont="1" applyAlignment="1">
      <alignment horizontal="center" vertical="center"/>
    </xf>
    <xf numFmtId="3" fontId="23" fillId="0" borderId="0" xfId="0" applyNumberFormat="1" applyFont="1"/>
    <xf numFmtId="3" fontId="17" fillId="0" borderId="0" xfId="0" applyNumberFormat="1" applyFont="1" applyAlignment="1">
      <alignment horizontal="center" vertical="top"/>
    </xf>
    <xf numFmtId="0" fontId="16" fillId="0" borderId="0" xfId="0" applyFont="1" applyAlignment="1">
      <alignment vertical="center"/>
    </xf>
    <xf numFmtId="3" fontId="16" fillId="0" borderId="0" xfId="0" applyNumberFormat="1" applyFont="1" applyAlignment="1">
      <alignment horizontal="right" vertical="center"/>
    </xf>
    <xf numFmtId="3" fontId="17" fillId="0" borderId="0" xfId="0" applyNumberFormat="1" applyFont="1"/>
    <xf numFmtId="3" fontId="16" fillId="0" borderId="0" xfId="0" applyNumberFormat="1" applyFont="1"/>
    <xf numFmtId="3" fontId="24" fillId="0" borderId="0" xfId="0" applyNumberFormat="1" applyFont="1"/>
    <xf numFmtId="3" fontId="16" fillId="0" borderId="0" xfId="0" applyNumberFormat="1" applyFont="1" applyAlignment="1">
      <alignment horizontal="right" wrapText="1"/>
    </xf>
    <xf numFmtId="3" fontId="17" fillId="6" borderId="0" xfId="0" quotePrefix="1" applyNumberFormat="1" applyFont="1" applyFill="1" applyAlignment="1">
      <alignment vertical="center"/>
    </xf>
    <xf numFmtId="3" fontId="17" fillId="6" borderId="0" xfId="0" applyNumberFormat="1" applyFont="1" applyFill="1" applyAlignment="1">
      <alignment vertical="center"/>
    </xf>
    <xf numFmtId="3" fontId="17" fillId="0" borderId="0" xfId="0" applyNumberFormat="1" applyFont="1" applyAlignment="1">
      <alignment vertical="top"/>
    </xf>
    <xf numFmtId="3" fontId="17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23" fillId="0" borderId="0" xfId="0" applyNumberFormat="1" applyFont="1" applyAlignment="1">
      <alignment horizontal="center" vertical="top"/>
    </xf>
    <xf numFmtId="0" fontId="25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top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3" applyAlignment="1" applyProtection="1">
      <alignment vertical="center"/>
    </xf>
    <xf numFmtId="3" fontId="3" fillId="0" borderId="0" xfId="0" applyNumberFormat="1" applyFont="1" applyAlignment="1">
      <alignment vertical="top"/>
    </xf>
    <xf numFmtId="3" fontId="33" fillId="0" borderId="0" xfId="0" applyNumberFormat="1" applyFont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vertical="center" wrapText="1"/>
    </xf>
    <xf numFmtId="0" fontId="34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 wrapText="1"/>
    </xf>
    <xf numFmtId="43" fontId="34" fillId="5" borderId="1" xfId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3" fontId="35" fillId="4" borderId="1" xfId="0" applyNumberFormat="1" applyFont="1" applyFill="1" applyBorder="1" applyAlignment="1">
      <alignment horizontal="center" vertical="center" wrapText="1"/>
    </xf>
    <xf numFmtId="41" fontId="35" fillId="0" borderId="1" xfId="0" applyNumberFormat="1" applyFont="1" applyBorder="1" applyAlignment="1">
      <alignment horizontal="center" vertical="center" wrapText="1"/>
    </xf>
    <xf numFmtId="165" fontId="35" fillId="4" borderId="1" xfId="1" applyNumberFormat="1" applyFont="1" applyFill="1" applyBorder="1" applyAlignment="1">
      <alignment horizontal="center" vertical="center" wrapText="1"/>
    </xf>
    <xf numFmtId="41" fontId="35" fillId="4" borderId="1" xfId="0" applyNumberFormat="1" applyFont="1" applyFill="1" applyBorder="1" applyAlignment="1">
      <alignment vertical="center" wrapText="1"/>
    </xf>
    <xf numFmtId="3" fontId="36" fillId="5" borderId="1" xfId="0" applyNumberFormat="1" applyFont="1" applyFill="1" applyBorder="1" applyAlignment="1">
      <alignment vertical="center" wrapText="1"/>
    </xf>
    <xf numFmtId="165" fontId="34" fillId="5" borderId="1" xfId="2" applyNumberFormat="1" applyFont="1" applyFill="1" applyBorder="1" applyAlignment="1">
      <alignment horizontal="center" vertical="center" wrapText="1"/>
    </xf>
    <xf numFmtId="41" fontId="34" fillId="5" borderId="1" xfId="0" applyNumberFormat="1" applyFont="1" applyFill="1" applyBorder="1" applyAlignment="1">
      <alignment vertical="center" wrapText="1"/>
    </xf>
    <xf numFmtId="164" fontId="17" fillId="0" borderId="0" xfId="0" applyNumberFormat="1" applyFont="1" applyAlignment="1">
      <alignment horizontal="center" vertical="top"/>
    </xf>
    <xf numFmtId="164" fontId="23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 vertical="center" wrapText="1"/>
    </xf>
    <xf numFmtId="43" fontId="7" fillId="0" borderId="0" xfId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 wrapText="1"/>
    </xf>
    <xf numFmtId="0" fontId="17" fillId="0" borderId="0" xfId="0" quotePrefix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</cellXfs>
  <cellStyles count="4">
    <cellStyle name="Comma" xfId="1" builtinId="3"/>
    <cellStyle name="Hyperlink 2" xfId="3" xr:uid="{6A0FEBE4-1CCC-4F25-81D5-1F24EB333A86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2" name="Picture 9" descr="clear">
          <a:extLst>
            <a:ext uri="{FF2B5EF4-FFF2-40B4-BE49-F238E27FC236}">
              <a16:creationId xmlns:a16="http://schemas.microsoft.com/office/drawing/2014/main" id="{629ED746-BC1E-48C8-AD57-A12A7C5E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3" name="Picture 24" descr="clear">
          <a:extLst>
            <a:ext uri="{FF2B5EF4-FFF2-40B4-BE49-F238E27FC236}">
              <a16:creationId xmlns:a16="http://schemas.microsoft.com/office/drawing/2014/main" id="{051A9E2B-F434-4449-86DE-BD62F627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4" name="Picture 9" descr="clear">
          <a:extLst>
            <a:ext uri="{FF2B5EF4-FFF2-40B4-BE49-F238E27FC236}">
              <a16:creationId xmlns:a16="http://schemas.microsoft.com/office/drawing/2014/main" id="{FE2C5CAF-35E5-4ABB-B72F-3D8E61B8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5" name="Picture 9" descr="clear">
          <a:extLst>
            <a:ext uri="{FF2B5EF4-FFF2-40B4-BE49-F238E27FC236}">
              <a16:creationId xmlns:a16="http://schemas.microsoft.com/office/drawing/2014/main" id="{872C6E71-939C-4CDB-A1DF-852FFCAE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6" name="Picture 24" descr="clear">
          <a:extLst>
            <a:ext uri="{FF2B5EF4-FFF2-40B4-BE49-F238E27FC236}">
              <a16:creationId xmlns:a16="http://schemas.microsoft.com/office/drawing/2014/main" id="{6B84A25B-1E59-40BB-A13E-A75B4065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7" name="Picture 6" descr="clear">
          <a:extLst>
            <a:ext uri="{FF2B5EF4-FFF2-40B4-BE49-F238E27FC236}">
              <a16:creationId xmlns:a16="http://schemas.microsoft.com/office/drawing/2014/main" id="{B246B2BA-2337-4BF7-8C5F-E458646F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8" name="Picture 9" descr="clear">
          <a:extLst>
            <a:ext uri="{FF2B5EF4-FFF2-40B4-BE49-F238E27FC236}">
              <a16:creationId xmlns:a16="http://schemas.microsoft.com/office/drawing/2014/main" id="{9D18B30E-8925-4ED0-9799-C93DC6CC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9" name="Picture 24" descr="clear">
          <a:extLst>
            <a:ext uri="{FF2B5EF4-FFF2-40B4-BE49-F238E27FC236}">
              <a16:creationId xmlns:a16="http://schemas.microsoft.com/office/drawing/2014/main" id="{72EFABC2-2810-46C6-AD26-24DB9771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0" name="Picture 9" descr="clear">
          <a:extLst>
            <a:ext uri="{FF2B5EF4-FFF2-40B4-BE49-F238E27FC236}">
              <a16:creationId xmlns:a16="http://schemas.microsoft.com/office/drawing/2014/main" id="{DD445C0B-E2E9-47E0-8757-59F26671B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1" name="Picture 9" descr="clear">
          <a:extLst>
            <a:ext uri="{FF2B5EF4-FFF2-40B4-BE49-F238E27FC236}">
              <a16:creationId xmlns:a16="http://schemas.microsoft.com/office/drawing/2014/main" id="{F9971E47-EE7F-4CCD-A647-9170AECF3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2" name="Picture 24" descr="clear">
          <a:extLst>
            <a:ext uri="{FF2B5EF4-FFF2-40B4-BE49-F238E27FC236}">
              <a16:creationId xmlns:a16="http://schemas.microsoft.com/office/drawing/2014/main" id="{1A8597F2-8C7E-4D62-AE6B-CFA823C99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3" name="Picture 12" descr="clear">
          <a:extLst>
            <a:ext uri="{FF2B5EF4-FFF2-40B4-BE49-F238E27FC236}">
              <a16:creationId xmlns:a16="http://schemas.microsoft.com/office/drawing/2014/main" id="{1842624F-E7BB-4E58-888E-FFBA633B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4" name="Picture 9" descr="clear">
          <a:extLst>
            <a:ext uri="{FF2B5EF4-FFF2-40B4-BE49-F238E27FC236}">
              <a16:creationId xmlns:a16="http://schemas.microsoft.com/office/drawing/2014/main" id="{C2A557B9-4EFF-431D-9356-DC0A05279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5" name="Picture 24" descr="clear">
          <a:extLst>
            <a:ext uri="{FF2B5EF4-FFF2-40B4-BE49-F238E27FC236}">
              <a16:creationId xmlns:a16="http://schemas.microsoft.com/office/drawing/2014/main" id="{8448C85A-EEFB-43E0-BC05-CC1AA56C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6" name="Picture 15" descr="clear">
          <a:extLst>
            <a:ext uri="{FF2B5EF4-FFF2-40B4-BE49-F238E27FC236}">
              <a16:creationId xmlns:a16="http://schemas.microsoft.com/office/drawing/2014/main" id="{334404F8-6C9D-4710-99F0-BF8DA7B9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7" name="Picture 9" descr="clear">
          <a:extLst>
            <a:ext uri="{FF2B5EF4-FFF2-40B4-BE49-F238E27FC236}">
              <a16:creationId xmlns:a16="http://schemas.microsoft.com/office/drawing/2014/main" id="{1BF4B817-C08E-4450-84F7-BB3E7912D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8" name="Picture 24" descr="clear">
          <a:extLst>
            <a:ext uri="{FF2B5EF4-FFF2-40B4-BE49-F238E27FC236}">
              <a16:creationId xmlns:a16="http://schemas.microsoft.com/office/drawing/2014/main" id="{3C3072D3-8456-4FDD-8B03-25DA70F9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9" name="Picture 9" descr="clear">
          <a:extLst>
            <a:ext uri="{FF2B5EF4-FFF2-40B4-BE49-F238E27FC236}">
              <a16:creationId xmlns:a16="http://schemas.microsoft.com/office/drawing/2014/main" id="{763203CE-9E89-4346-A396-0759AA4F9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77165</xdr:colOff>
      <xdr:row>0</xdr:row>
      <xdr:rowOff>236317</xdr:rowOff>
    </xdr:from>
    <xdr:to>
      <xdr:col>7</xdr:col>
      <xdr:colOff>138849</xdr:colOff>
      <xdr:row>0</xdr:row>
      <xdr:rowOff>1142569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736CCCC-B558-48F4-8000-288952C47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65" y="236317"/>
          <a:ext cx="7768770" cy="906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43</xdr:row>
      <xdr:rowOff>99060</xdr:rowOff>
    </xdr:from>
    <xdr:to>
      <xdr:col>7</xdr:col>
      <xdr:colOff>388620</xdr:colOff>
      <xdr:row>44</xdr:row>
      <xdr:rowOff>15240</xdr:rowOff>
    </xdr:to>
    <xdr:pic>
      <xdr:nvPicPr>
        <xdr:cNvPr id="21" name="Picture 5">
          <a:extLst>
            <a:ext uri="{FF2B5EF4-FFF2-40B4-BE49-F238E27FC236}">
              <a16:creationId xmlns:a16="http://schemas.microsoft.com/office/drawing/2014/main" id="{47022924-6E35-4F20-A965-B975597D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86" y="12764589"/>
          <a:ext cx="7894320" cy="14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2" name="Picture 9" descr="clear">
          <a:extLst>
            <a:ext uri="{FF2B5EF4-FFF2-40B4-BE49-F238E27FC236}">
              <a16:creationId xmlns:a16="http://schemas.microsoft.com/office/drawing/2014/main" id="{8A585899-79E7-44A2-BC69-EAEBCDFA0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3" name="Picture 24" descr="clear">
          <a:extLst>
            <a:ext uri="{FF2B5EF4-FFF2-40B4-BE49-F238E27FC236}">
              <a16:creationId xmlns:a16="http://schemas.microsoft.com/office/drawing/2014/main" id="{CCAC6FBF-202B-47A9-92AA-008B7FA0B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4" name="Picture 9" descr="clear">
          <a:extLst>
            <a:ext uri="{FF2B5EF4-FFF2-40B4-BE49-F238E27FC236}">
              <a16:creationId xmlns:a16="http://schemas.microsoft.com/office/drawing/2014/main" id="{53D2C8C4-D3D9-4E59-A30B-3FB02AA4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5" name="Picture 9" descr="clear">
          <a:extLst>
            <a:ext uri="{FF2B5EF4-FFF2-40B4-BE49-F238E27FC236}">
              <a16:creationId xmlns:a16="http://schemas.microsoft.com/office/drawing/2014/main" id="{662500E9-D2B1-431B-BAA4-79A058183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6" name="Picture 24" descr="clear">
          <a:extLst>
            <a:ext uri="{FF2B5EF4-FFF2-40B4-BE49-F238E27FC236}">
              <a16:creationId xmlns:a16="http://schemas.microsoft.com/office/drawing/2014/main" id="{742AB1EA-E499-4611-A6DB-7BD478499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7" name="Picture 6" descr="clear">
          <a:extLst>
            <a:ext uri="{FF2B5EF4-FFF2-40B4-BE49-F238E27FC236}">
              <a16:creationId xmlns:a16="http://schemas.microsoft.com/office/drawing/2014/main" id="{48D54308-0B88-499B-86F1-2118F7D0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8" name="Picture 9" descr="clear">
          <a:extLst>
            <a:ext uri="{FF2B5EF4-FFF2-40B4-BE49-F238E27FC236}">
              <a16:creationId xmlns:a16="http://schemas.microsoft.com/office/drawing/2014/main" id="{8FC06072-E724-418F-9F21-3A7AE529C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9" name="Picture 24" descr="clear">
          <a:extLst>
            <a:ext uri="{FF2B5EF4-FFF2-40B4-BE49-F238E27FC236}">
              <a16:creationId xmlns:a16="http://schemas.microsoft.com/office/drawing/2014/main" id="{ABD3254E-331A-468A-BBC5-2F04B6FBA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0" name="Picture 9" descr="clear">
          <a:extLst>
            <a:ext uri="{FF2B5EF4-FFF2-40B4-BE49-F238E27FC236}">
              <a16:creationId xmlns:a16="http://schemas.microsoft.com/office/drawing/2014/main" id="{6E6A0009-E67F-4DAB-BA23-BD7D55102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1" name="Picture 9" descr="clear">
          <a:extLst>
            <a:ext uri="{FF2B5EF4-FFF2-40B4-BE49-F238E27FC236}">
              <a16:creationId xmlns:a16="http://schemas.microsoft.com/office/drawing/2014/main" id="{EB155082-B1D9-42F0-B76E-50D8D0F0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2" name="Picture 24" descr="clear">
          <a:extLst>
            <a:ext uri="{FF2B5EF4-FFF2-40B4-BE49-F238E27FC236}">
              <a16:creationId xmlns:a16="http://schemas.microsoft.com/office/drawing/2014/main" id="{04245007-2594-482A-8FF7-DCC9481C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3" name="Picture 12" descr="clear">
          <a:extLst>
            <a:ext uri="{FF2B5EF4-FFF2-40B4-BE49-F238E27FC236}">
              <a16:creationId xmlns:a16="http://schemas.microsoft.com/office/drawing/2014/main" id="{1954EDE7-A1C1-4745-AF8E-4AB46FC2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4" name="Picture 9" descr="clear">
          <a:extLst>
            <a:ext uri="{FF2B5EF4-FFF2-40B4-BE49-F238E27FC236}">
              <a16:creationId xmlns:a16="http://schemas.microsoft.com/office/drawing/2014/main" id="{8B829C70-9C9F-4E27-A140-F483016A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5" name="Picture 24" descr="clear">
          <a:extLst>
            <a:ext uri="{FF2B5EF4-FFF2-40B4-BE49-F238E27FC236}">
              <a16:creationId xmlns:a16="http://schemas.microsoft.com/office/drawing/2014/main" id="{D348E40C-368D-469C-9931-263A52AE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6" name="Picture 15" descr="clear">
          <a:extLst>
            <a:ext uri="{FF2B5EF4-FFF2-40B4-BE49-F238E27FC236}">
              <a16:creationId xmlns:a16="http://schemas.microsoft.com/office/drawing/2014/main" id="{4E7C9571-5139-417E-B1AD-339E5B1E8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7" name="Picture 9" descr="clear">
          <a:extLst>
            <a:ext uri="{FF2B5EF4-FFF2-40B4-BE49-F238E27FC236}">
              <a16:creationId xmlns:a16="http://schemas.microsoft.com/office/drawing/2014/main" id="{95D54AC2-E20B-4819-BA48-F75EC1FA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8" name="Picture 24" descr="clear">
          <a:extLst>
            <a:ext uri="{FF2B5EF4-FFF2-40B4-BE49-F238E27FC236}">
              <a16:creationId xmlns:a16="http://schemas.microsoft.com/office/drawing/2014/main" id="{4F86BFA4-8E1E-471A-A797-464EA40E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9525</xdr:colOff>
      <xdr:row>15</xdr:row>
      <xdr:rowOff>57150</xdr:rowOff>
    </xdr:to>
    <xdr:pic>
      <xdr:nvPicPr>
        <xdr:cNvPr id="19" name="Picture 9" descr="clear">
          <a:extLst>
            <a:ext uri="{FF2B5EF4-FFF2-40B4-BE49-F238E27FC236}">
              <a16:creationId xmlns:a16="http://schemas.microsoft.com/office/drawing/2014/main" id="{4BE758C1-2774-4EC1-AA27-7ECE3C77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77165</xdr:colOff>
      <xdr:row>0</xdr:row>
      <xdr:rowOff>236317</xdr:rowOff>
    </xdr:from>
    <xdr:to>
      <xdr:col>7</xdr:col>
      <xdr:colOff>138849</xdr:colOff>
      <xdr:row>0</xdr:row>
      <xdr:rowOff>1142569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01CAE36-CE24-48B7-9987-40BD1EBEF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65" y="236317"/>
          <a:ext cx="7768770" cy="906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43</xdr:row>
      <xdr:rowOff>99060</xdr:rowOff>
    </xdr:from>
    <xdr:to>
      <xdr:col>7</xdr:col>
      <xdr:colOff>388620</xdr:colOff>
      <xdr:row>44</xdr:row>
      <xdr:rowOff>15240</xdr:rowOff>
    </xdr:to>
    <xdr:pic>
      <xdr:nvPicPr>
        <xdr:cNvPr id="21" name="Picture 5">
          <a:extLst>
            <a:ext uri="{FF2B5EF4-FFF2-40B4-BE49-F238E27FC236}">
              <a16:creationId xmlns:a16="http://schemas.microsoft.com/office/drawing/2014/main" id="{CA3E10D7-4F9D-49FD-A05E-5935BFAE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86" y="12764589"/>
          <a:ext cx="7894320" cy="14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2" name="Picture 9" descr="clear">
          <a:extLst>
            <a:ext uri="{FF2B5EF4-FFF2-40B4-BE49-F238E27FC236}">
              <a16:creationId xmlns:a16="http://schemas.microsoft.com/office/drawing/2014/main" id="{EDFECBD8-E545-4A6A-950E-42B6819EF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3" name="Picture 24" descr="clear">
          <a:extLst>
            <a:ext uri="{FF2B5EF4-FFF2-40B4-BE49-F238E27FC236}">
              <a16:creationId xmlns:a16="http://schemas.microsoft.com/office/drawing/2014/main" id="{CC934E91-18B6-4BCD-A09C-5851C9062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4" name="Picture 9" descr="clear">
          <a:extLst>
            <a:ext uri="{FF2B5EF4-FFF2-40B4-BE49-F238E27FC236}">
              <a16:creationId xmlns:a16="http://schemas.microsoft.com/office/drawing/2014/main" id="{B1FDB945-7AE8-4AB9-8D73-704A0C40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5" name="Picture 9" descr="clear">
          <a:extLst>
            <a:ext uri="{FF2B5EF4-FFF2-40B4-BE49-F238E27FC236}">
              <a16:creationId xmlns:a16="http://schemas.microsoft.com/office/drawing/2014/main" id="{00CC8AAE-9D92-4D30-908A-72D3CC3D8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6" name="Picture 24" descr="clear">
          <a:extLst>
            <a:ext uri="{FF2B5EF4-FFF2-40B4-BE49-F238E27FC236}">
              <a16:creationId xmlns:a16="http://schemas.microsoft.com/office/drawing/2014/main" id="{E85308FE-3214-43F1-BA77-A8E56A6C5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7" name="Picture 6" descr="clear">
          <a:extLst>
            <a:ext uri="{FF2B5EF4-FFF2-40B4-BE49-F238E27FC236}">
              <a16:creationId xmlns:a16="http://schemas.microsoft.com/office/drawing/2014/main" id="{28BF4E85-13F8-42D6-BE38-64241A5B7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8" name="Picture 9" descr="clear">
          <a:extLst>
            <a:ext uri="{FF2B5EF4-FFF2-40B4-BE49-F238E27FC236}">
              <a16:creationId xmlns:a16="http://schemas.microsoft.com/office/drawing/2014/main" id="{873E5E89-60E6-4092-8A59-C62DC363A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9" name="Picture 24" descr="clear">
          <a:extLst>
            <a:ext uri="{FF2B5EF4-FFF2-40B4-BE49-F238E27FC236}">
              <a16:creationId xmlns:a16="http://schemas.microsoft.com/office/drawing/2014/main" id="{9852E300-90C3-4534-B5BA-5C837F42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0" name="Picture 9" descr="clear">
          <a:extLst>
            <a:ext uri="{FF2B5EF4-FFF2-40B4-BE49-F238E27FC236}">
              <a16:creationId xmlns:a16="http://schemas.microsoft.com/office/drawing/2014/main" id="{7E9FD40A-84C9-4617-A1CC-B698415F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1" name="Picture 9" descr="clear">
          <a:extLst>
            <a:ext uri="{FF2B5EF4-FFF2-40B4-BE49-F238E27FC236}">
              <a16:creationId xmlns:a16="http://schemas.microsoft.com/office/drawing/2014/main" id="{D765AC32-B1F0-4E87-8758-BEEAB0F1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2" name="Picture 24" descr="clear">
          <a:extLst>
            <a:ext uri="{FF2B5EF4-FFF2-40B4-BE49-F238E27FC236}">
              <a16:creationId xmlns:a16="http://schemas.microsoft.com/office/drawing/2014/main" id="{9F28802A-3539-4CAF-B82E-7B92FB87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3" name="Picture 12" descr="clear">
          <a:extLst>
            <a:ext uri="{FF2B5EF4-FFF2-40B4-BE49-F238E27FC236}">
              <a16:creationId xmlns:a16="http://schemas.microsoft.com/office/drawing/2014/main" id="{FB85851E-25AA-4105-AA7C-9DCC9B92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4" name="Picture 9" descr="clear">
          <a:extLst>
            <a:ext uri="{FF2B5EF4-FFF2-40B4-BE49-F238E27FC236}">
              <a16:creationId xmlns:a16="http://schemas.microsoft.com/office/drawing/2014/main" id="{D1CD09C3-1C22-4E82-A5F2-5CE37AF99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5" name="Picture 24" descr="clear">
          <a:extLst>
            <a:ext uri="{FF2B5EF4-FFF2-40B4-BE49-F238E27FC236}">
              <a16:creationId xmlns:a16="http://schemas.microsoft.com/office/drawing/2014/main" id="{117AF57E-9342-495F-9F06-3EC97A82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6" name="Picture 15" descr="clear">
          <a:extLst>
            <a:ext uri="{FF2B5EF4-FFF2-40B4-BE49-F238E27FC236}">
              <a16:creationId xmlns:a16="http://schemas.microsoft.com/office/drawing/2014/main" id="{42F06184-B7AF-40B0-867D-A6C00C38F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7" name="Picture 9" descr="clear">
          <a:extLst>
            <a:ext uri="{FF2B5EF4-FFF2-40B4-BE49-F238E27FC236}">
              <a16:creationId xmlns:a16="http://schemas.microsoft.com/office/drawing/2014/main" id="{52A2076E-E89B-4EDD-AF3F-DE38E7BE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8" name="Picture 24" descr="clear">
          <a:extLst>
            <a:ext uri="{FF2B5EF4-FFF2-40B4-BE49-F238E27FC236}">
              <a16:creationId xmlns:a16="http://schemas.microsoft.com/office/drawing/2014/main" id="{83890F66-E061-41C5-ABDE-102431B0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9525</xdr:colOff>
      <xdr:row>12</xdr:row>
      <xdr:rowOff>57150</xdr:rowOff>
    </xdr:to>
    <xdr:pic>
      <xdr:nvPicPr>
        <xdr:cNvPr id="19" name="Picture 9" descr="clear">
          <a:extLst>
            <a:ext uri="{FF2B5EF4-FFF2-40B4-BE49-F238E27FC236}">
              <a16:creationId xmlns:a16="http://schemas.microsoft.com/office/drawing/2014/main" id="{19EB70E4-8742-448B-BB8F-81B71671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6" y="8942614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77165</xdr:colOff>
      <xdr:row>0</xdr:row>
      <xdr:rowOff>236317</xdr:rowOff>
    </xdr:from>
    <xdr:to>
      <xdr:col>7</xdr:col>
      <xdr:colOff>138849</xdr:colOff>
      <xdr:row>0</xdr:row>
      <xdr:rowOff>1142569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49909F6-DB78-4255-8ECA-0F0F1620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65" y="236317"/>
          <a:ext cx="7768770" cy="906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40</xdr:row>
      <xdr:rowOff>99060</xdr:rowOff>
    </xdr:from>
    <xdr:to>
      <xdr:col>7</xdr:col>
      <xdr:colOff>388620</xdr:colOff>
      <xdr:row>41</xdr:row>
      <xdr:rowOff>15240</xdr:rowOff>
    </xdr:to>
    <xdr:pic>
      <xdr:nvPicPr>
        <xdr:cNvPr id="21" name="Picture 5">
          <a:extLst>
            <a:ext uri="{FF2B5EF4-FFF2-40B4-BE49-F238E27FC236}">
              <a16:creationId xmlns:a16="http://schemas.microsoft.com/office/drawing/2014/main" id="{80EE1811-6ED0-41C7-8F2C-7587B7A2A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86" y="12764589"/>
          <a:ext cx="7894320" cy="14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tssi.v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tssi.v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ntssi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EC67-C1D1-4292-B097-23D657EAC91C}">
  <sheetPr>
    <pageSetUpPr fitToPage="1"/>
  </sheetPr>
  <dimension ref="A1:O49"/>
  <sheetViews>
    <sheetView tabSelected="1" view="pageBreakPreview" topLeftCell="A9" zoomScale="97" zoomScaleNormal="100" zoomScaleSheetLayoutView="100" workbookViewId="0">
      <selection activeCell="H4" sqref="H4"/>
    </sheetView>
  </sheetViews>
  <sheetFormatPr defaultRowHeight="12.75" x14ac:dyDescent="0.25"/>
  <cols>
    <col min="1" max="1" width="2.85546875" style="1" customWidth="1"/>
    <col min="2" max="2" width="4.85546875" style="58" customWidth="1"/>
    <col min="3" max="3" width="10.85546875" style="58" customWidth="1"/>
    <col min="4" max="4" width="59.28515625" style="58" customWidth="1"/>
    <col min="5" max="5" width="4.140625" style="64" bestFit="1" customWidth="1"/>
    <col min="6" max="6" width="12.85546875" style="68" bestFit="1" customWidth="1"/>
    <col min="7" max="7" width="14.140625" style="64" bestFit="1" customWidth="1"/>
    <col min="8" max="8" width="13.7109375" style="64" customWidth="1"/>
    <col min="9" max="9" width="15" style="64" customWidth="1"/>
    <col min="10" max="12" width="9.28515625" style="1"/>
    <col min="13" max="13" width="18.5703125" style="1" customWidth="1"/>
    <col min="14" max="14" width="9.28515625" style="1"/>
    <col min="15" max="15" width="18.42578125" style="1" customWidth="1"/>
    <col min="16" max="246" width="9.28515625" style="1"/>
    <col min="247" max="247" width="2.85546875" style="1" customWidth="1"/>
    <col min="248" max="248" width="5.28515625" style="1" customWidth="1"/>
    <col min="249" max="249" width="17.28515625" style="1" customWidth="1"/>
    <col min="250" max="250" width="57.85546875" style="1" customWidth="1"/>
    <col min="251" max="251" width="5.5703125" style="1" customWidth="1"/>
    <col min="252" max="252" width="12" style="1" customWidth="1"/>
    <col min="253" max="253" width="14.28515625" style="1" customWidth="1"/>
    <col min="254" max="254" width="12" style="1" customWidth="1"/>
    <col min="255" max="255" width="0.28515625" style="1" customWidth="1"/>
    <col min="256" max="256" width="18.28515625" style="1" customWidth="1"/>
    <col min="257" max="502" width="9.28515625" style="1"/>
    <col min="503" max="503" width="2.85546875" style="1" customWidth="1"/>
    <col min="504" max="504" width="5.28515625" style="1" customWidth="1"/>
    <col min="505" max="505" width="17.28515625" style="1" customWidth="1"/>
    <col min="506" max="506" width="57.85546875" style="1" customWidth="1"/>
    <col min="507" max="507" width="5.5703125" style="1" customWidth="1"/>
    <col min="508" max="508" width="12" style="1" customWidth="1"/>
    <col min="509" max="509" width="14.28515625" style="1" customWidth="1"/>
    <col min="510" max="510" width="12" style="1" customWidth="1"/>
    <col min="511" max="511" width="0.28515625" style="1" customWidth="1"/>
    <col min="512" max="512" width="18.28515625" style="1" customWidth="1"/>
    <col min="513" max="758" width="9.28515625" style="1"/>
    <col min="759" max="759" width="2.85546875" style="1" customWidth="1"/>
    <col min="760" max="760" width="5.28515625" style="1" customWidth="1"/>
    <col min="761" max="761" width="17.28515625" style="1" customWidth="1"/>
    <col min="762" max="762" width="57.85546875" style="1" customWidth="1"/>
    <col min="763" max="763" width="5.5703125" style="1" customWidth="1"/>
    <col min="764" max="764" width="12" style="1" customWidth="1"/>
    <col min="765" max="765" width="14.28515625" style="1" customWidth="1"/>
    <col min="766" max="766" width="12" style="1" customWidth="1"/>
    <col min="767" max="767" width="0.28515625" style="1" customWidth="1"/>
    <col min="768" max="768" width="18.28515625" style="1" customWidth="1"/>
    <col min="769" max="1014" width="9.28515625" style="1"/>
    <col min="1015" max="1015" width="2.85546875" style="1" customWidth="1"/>
    <col min="1016" max="1016" width="5.28515625" style="1" customWidth="1"/>
    <col min="1017" max="1017" width="17.28515625" style="1" customWidth="1"/>
    <col min="1018" max="1018" width="57.85546875" style="1" customWidth="1"/>
    <col min="1019" max="1019" width="5.5703125" style="1" customWidth="1"/>
    <col min="1020" max="1020" width="12" style="1" customWidth="1"/>
    <col min="1021" max="1021" width="14.28515625" style="1" customWidth="1"/>
    <col min="1022" max="1022" width="12" style="1" customWidth="1"/>
    <col min="1023" max="1023" width="0.28515625" style="1" customWidth="1"/>
    <col min="1024" max="1024" width="18.28515625" style="1" customWidth="1"/>
    <col min="1025" max="1270" width="9.28515625" style="1"/>
    <col min="1271" max="1271" width="2.85546875" style="1" customWidth="1"/>
    <col min="1272" max="1272" width="5.28515625" style="1" customWidth="1"/>
    <col min="1273" max="1273" width="17.28515625" style="1" customWidth="1"/>
    <col min="1274" max="1274" width="57.85546875" style="1" customWidth="1"/>
    <col min="1275" max="1275" width="5.5703125" style="1" customWidth="1"/>
    <col min="1276" max="1276" width="12" style="1" customWidth="1"/>
    <col min="1277" max="1277" width="14.28515625" style="1" customWidth="1"/>
    <col min="1278" max="1278" width="12" style="1" customWidth="1"/>
    <col min="1279" max="1279" width="0.28515625" style="1" customWidth="1"/>
    <col min="1280" max="1280" width="18.28515625" style="1" customWidth="1"/>
    <col min="1281" max="1526" width="9.28515625" style="1"/>
    <col min="1527" max="1527" width="2.85546875" style="1" customWidth="1"/>
    <col min="1528" max="1528" width="5.28515625" style="1" customWidth="1"/>
    <col min="1529" max="1529" width="17.28515625" style="1" customWidth="1"/>
    <col min="1530" max="1530" width="57.85546875" style="1" customWidth="1"/>
    <col min="1531" max="1531" width="5.5703125" style="1" customWidth="1"/>
    <col min="1532" max="1532" width="12" style="1" customWidth="1"/>
    <col min="1533" max="1533" width="14.28515625" style="1" customWidth="1"/>
    <col min="1534" max="1534" width="12" style="1" customWidth="1"/>
    <col min="1535" max="1535" width="0.28515625" style="1" customWidth="1"/>
    <col min="1536" max="1536" width="18.28515625" style="1" customWidth="1"/>
    <col min="1537" max="1782" width="9.28515625" style="1"/>
    <col min="1783" max="1783" width="2.85546875" style="1" customWidth="1"/>
    <col min="1784" max="1784" width="5.28515625" style="1" customWidth="1"/>
    <col min="1785" max="1785" width="17.28515625" style="1" customWidth="1"/>
    <col min="1786" max="1786" width="57.85546875" style="1" customWidth="1"/>
    <col min="1787" max="1787" width="5.5703125" style="1" customWidth="1"/>
    <col min="1788" max="1788" width="12" style="1" customWidth="1"/>
    <col min="1789" max="1789" width="14.28515625" style="1" customWidth="1"/>
    <col min="1790" max="1790" width="12" style="1" customWidth="1"/>
    <col min="1791" max="1791" width="0.28515625" style="1" customWidth="1"/>
    <col min="1792" max="1792" width="18.28515625" style="1" customWidth="1"/>
    <col min="1793" max="2038" width="9.28515625" style="1"/>
    <col min="2039" max="2039" width="2.85546875" style="1" customWidth="1"/>
    <col min="2040" max="2040" width="5.28515625" style="1" customWidth="1"/>
    <col min="2041" max="2041" width="17.28515625" style="1" customWidth="1"/>
    <col min="2042" max="2042" width="57.85546875" style="1" customWidth="1"/>
    <col min="2043" max="2043" width="5.5703125" style="1" customWidth="1"/>
    <col min="2044" max="2044" width="12" style="1" customWidth="1"/>
    <col min="2045" max="2045" width="14.28515625" style="1" customWidth="1"/>
    <col min="2046" max="2046" width="12" style="1" customWidth="1"/>
    <col min="2047" max="2047" width="0.28515625" style="1" customWidth="1"/>
    <col min="2048" max="2048" width="18.28515625" style="1" customWidth="1"/>
    <col min="2049" max="2294" width="9.28515625" style="1"/>
    <col min="2295" max="2295" width="2.85546875" style="1" customWidth="1"/>
    <col min="2296" max="2296" width="5.28515625" style="1" customWidth="1"/>
    <col min="2297" max="2297" width="17.28515625" style="1" customWidth="1"/>
    <col min="2298" max="2298" width="57.85546875" style="1" customWidth="1"/>
    <col min="2299" max="2299" width="5.5703125" style="1" customWidth="1"/>
    <col min="2300" max="2300" width="12" style="1" customWidth="1"/>
    <col min="2301" max="2301" width="14.28515625" style="1" customWidth="1"/>
    <col min="2302" max="2302" width="12" style="1" customWidth="1"/>
    <col min="2303" max="2303" width="0.28515625" style="1" customWidth="1"/>
    <col min="2304" max="2304" width="18.28515625" style="1" customWidth="1"/>
    <col min="2305" max="2550" width="9.28515625" style="1"/>
    <col min="2551" max="2551" width="2.85546875" style="1" customWidth="1"/>
    <col min="2552" max="2552" width="5.28515625" style="1" customWidth="1"/>
    <col min="2553" max="2553" width="17.28515625" style="1" customWidth="1"/>
    <col min="2554" max="2554" width="57.85546875" style="1" customWidth="1"/>
    <col min="2555" max="2555" width="5.5703125" style="1" customWidth="1"/>
    <col min="2556" max="2556" width="12" style="1" customWidth="1"/>
    <col min="2557" max="2557" width="14.28515625" style="1" customWidth="1"/>
    <col min="2558" max="2558" width="12" style="1" customWidth="1"/>
    <col min="2559" max="2559" width="0.28515625" style="1" customWidth="1"/>
    <col min="2560" max="2560" width="18.28515625" style="1" customWidth="1"/>
    <col min="2561" max="2806" width="9.28515625" style="1"/>
    <col min="2807" max="2807" width="2.85546875" style="1" customWidth="1"/>
    <col min="2808" max="2808" width="5.28515625" style="1" customWidth="1"/>
    <col min="2809" max="2809" width="17.28515625" style="1" customWidth="1"/>
    <col min="2810" max="2810" width="57.85546875" style="1" customWidth="1"/>
    <col min="2811" max="2811" width="5.5703125" style="1" customWidth="1"/>
    <col min="2812" max="2812" width="12" style="1" customWidth="1"/>
    <col min="2813" max="2813" width="14.28515625" style="1" customWidth="1"/>
    <col min="2814" max="2814" width="12" style="1" customWidth="1"/>
    <col min="2815" max="2815" width="0.28515625" style="1" customWidth="1"/>
    <col min="2816" max="2816" width="18.28515625" style="1" customWidth="1"/>
    <col min="2817" max="3062" width="9.28515625" style="1"/>
    <col min="3063" max="3063" width="2.85546875" style="1" customWidth="1"/>
    <col min="3064" max="3064" width="5.28515625" style="1" customWidth="1"/>
    <col min="3065" max="3065" width="17.28515625" style="1" customWidth="1"/>
    <col min="3066" max="3066" width="57.85546875" style="1" customWidth="1"/>
    <col min="3067" max="3067" width="5.5703125" style="1" customWidth="1"/>
    <col min="3068" max="3068" width="12" style="1" customWidth="1"/>
    <col min="3069" max="3069" width="14.28515625" style="1" customWidth="1"/>
    <col min="3070" max="3070" width="12" style="1" customWidth="1"/>
    <col min="3071" max="3071" width="0.28515625" style="1" customWidth="1"/>
    <col min="3072" max="3072" width="18.28515625" style="1" customWidth="1"/>
    <col min="3073" max="3318" width="9.28515625" style="1"/>
    <col min="3319" max="3319" width="2.85546875" style="1" customWidth="1"/>
    <col min="3320" max="3320" width="5.28515625" style="1" customWidth="1"/>
    <col min="3321" max="3321" width="17.28515625" style="1" customWidth="1"/>
    <col min="3322" max="3322" width="57.85546875" style="1" customWidth="1"/>
    <col min="3323" max="3323" width="5.5703125" style="1" customWidth="1"/>
    <col min="3324" max="3324" width="12" style="1" customWidth="1"/>
    <col min="3325" max="3325" width="14.28515625" style="1" customWidth="1"/>
    <col min="3326" max="3326" width="12" style="1" customWidth="1"/>
    <col min="3327" max="3327" width="0.28515625" style="1" customWidth="1"/>
    <col min="3328" max="3328" width="18.28515625" style="1" customWidth="1"/>
    <col min="3329" max="3574" width="9.28515625" style="1"/>
    <col min="3575" max="3575" width="2.85546875" style="1" customWidth="1"/>
    <col min="3576" max="3576" width="5.28515625" style="1" customWidth="1"/>
    <col min="3577" max="3577" width="17.28515625" style="1" customWidth="1"/>
    <col min="3578" max="3578" width="57.85546875" style="1" customWidth="1"/>
    <col min="3579" max="3579" width="5.5703125" style="1" customWidth="1"/>
    <col min="3580" max="3580" width="12" style="1" customWidth="1"/>
    <col min="3581" max="3581" width="14.28515625" style="1" customWidth="1"/>
    <col min="3582" max="3582" width="12" style="1" customWidth="1"/>
    <col min="3583" max="3583" width="0.28515625" style="1" customWidth="1"/>
    <col min="3584" max="3584" width="18.28515625" style="1" customWidth="1"/>
    <col min="3585" max="3830" width="9.28515625" style="1"/>
    <col min="3831" max="3831" width="2.85546875" style="1" customWidth="1"/>
    <col min="3832" max="3832" width="5.28515625" style="1" customWidth="1"/>
    <col min="3833" max="3833" width="17.28515625" style="1" customWidth="1"/>
    <col min="3834" max="3834" width="57.85546875" style="1" customWidth="1"/>
    <col min="3835" max="3835" width="5.5703125" style="1" customWidth="1"/>
    <col min="3836" max="3836" width="12" style="1" customWidth="1"/>
    <col min="3837" max="3837" width="14.28515625" style="1" customWidth="1"/>
    <col min="3838" max="3838" width="12" style="1" customWidth="1"/>
    <col min="3839" max="3839" width="0.28515625" style="1" customWidth="1"/>
    <col min="3840" max="3840" width="18.28515625" style="1" customWidth="1"/>
    <col min="3841" max="4086" width="9.28515625" style="1"/>
    <col min="4087" max="4087" width="2.85546875" style="1" customWidth="1"/>
    <col min="4088" max="4088" width="5.28515625" style="1" customWidth="1"/>
    <col min="4089" max="4089" width="17.28515625" style="1" customWidth="1"/>
    <col min="4090" max="4090" width="57.85546875" style="1" customWidth="1"/>
    <col min="4091" max="4091" width="5.5703125" style="1" customWidth="1"/>
    <col min="4092" max="4092" width="12" style="1" customWidth="1"/>
    <col min="4093" max="4093" width="14.28515625" style="1" customWidth="1"/>
    <col min="4094" max="4094" width="12" style="1" customWidth="1"/>
    <col min="4095" max="4095" width="0.28515625" style="1" customWidth="1"/>
    <col min="4096" max="4096" width="18.28515625" style="1" customWidth="1"/>
    <col min="4097" max="4342" width="9.28515625" style="1"/>
    <col min="4343" max="4343" width="2.85546875" style="1" customWidth="1"/>
    <col min="4344" max="4344" width="5.28515625" style="1" customWidth="1"/>
    <col min="4345" max="4345" width="17.28515625" style="1" customWidth="1"/>
    <col min="4346" max="4346" width="57.85546875" style="1" customWidth="1"/>
    <col min="4347" max="4347" width="5.5703125" style="1" customWidth="1"/>
    <col min="4348" max="4348" width="12" style="1" customWidth="1"/>
    <col min="4349" max="4349" width="14.28515625" style="1" customWidth="1"/>
    <col min="4350" max="4350" width="12" style="1" customWidth="1"/>
    <col min="4351" max="4351" width="0.28515625" style="1" customWidth="1"/>
    <col min="4352" max="4352" width="18.28515625" style="1" customWidth="1"/>
    <col min="4353" max="4598" width="9.28515625" style="1"/>
    <col min="4599" max="4599" width="2.85546875" style="1" customWidth="1"/>
    <col min="4600" max="4600" width="5.28515625" style="1" customWidth="1"/>
    <col min="4601" max="4601" width="17.28515625" style="1" customWidth="1"/>
    <col min="4602" max="4602" width="57.85546875" style="1" customWidth="1"/>
    <col min="4603" max="4603" width="5.5703125" style="1" customWidth="1"/>
    <col min="4604" max="4604" width="12" style="1" customWidth="1"/>
    <col min="4605" max="4605" width="14.28515625" style="1" customWidth="1"/>
    <col min="4606" max="4606" width="12" style="1" customWidth="1"/>
    <col min="4607" max="4607" width="0.28515625" style="1" customWidth="1"/>
    <col min="4608" max="4608" width="18.28515625" style="1" customWidth="1"/>
    <col min="4609" max="4854" width="9.28515625" style="1"/>
    <col min="4855" max="4855" width="2.85546875" style="1" customWidth="1"/>
    <col min="4856" max="4856" width="5.28515625" style="1" customWidth="1"/>
    <col min="4857" max="4857" width="17.28515625" style="1" customWidth="1"/>
    <col min="4858" max="4858" width="57.85546875" style="1" customWidth="1"/>
    <col min="4859" max="4859" width="5.5703125" style="1" customWidth="1"/>
    <col min="4860" max="4860" width="12" style="1" customWidth="1"/>
    <col min="4861" max="4861" width="14.28515625" style="1" customWidth="1"/>
    <col min="4862" max="4862" width="12" style="1" customWidth="1"/>
    <col min="4863" max="4863" width="0.28515625" style="1" customWidth="1"/>
    <col min="4864" max="4864" width="18.28515625" style="1" customWidth="1"/>
    <col min="4865" max="5110" width="9.28515625" style="1"/>
    <col min="5111" max="5111" width="2.85546875" style="1" customWidth="1"/>
    <col min="5112" max="5112" width="5.28515625" style="1" customWidth="1"/>
    <col min="5113" max="5113" width="17.28515625" style="1" customWidth="1"/>
    <col min="5114" max="5114" width="57.85546875" style="1" customWidth="1"/>
    <col min="5115" max="5115" width="5.5703125" style="1" customWidth="1"/>
    <col min="5116" max="5116" width="12" style="1" customWidth="1"/>
    <col min="5117" max="5117" width="14.28515625" style="1" customWidth="1"/>
    <col min="5118" max="5118" width="12" style="1" customWidth="1"/>
    <col min="5119" max="5119" width="0.28515625" style="1" customWidth="1"/>
    <col min="5120" max="5120" width="18.28515625" style="1" customWidth="1"/>
    <col min="5121" max="5366" width="9.28515625" style="1"/>
    <col min="5367" max="5367" width="2.85546875" style="1" customWidth="1"/>
    <col min="5368" max="5368" width="5.28515625" style="1" customWidth="1"/>
    <col min="5369" max="5369" width="17.28515625" style="1" customWidth="1"/>
    <col min="5370" max="5370" width="57.85546875" style="1" customWidth="1"/>
    <col min="5371" max="5371" width="5.5703125" style="1" customWidth="1"/>
    <col min="5372" max="5372" width="12" style="1" customWidth="1"/>
    <col min="5373" max="5373" width="14.28515625" style="1" customWidth="1"/>
    <col min="5374" max="5374" width="12" style="1" customWidth="1"/>
    <col min="5375" max="5375" width="0.28515625" style="1" customWidth="1"/>
    <col min="5376" max="5376" width="18.28515625" style="1" customWidth="1"/>
    <col min="5377" max="5622" width="9.28515625" style="1"/>
    <col min="5623" max="5623" width="2.85546875" style="1" customWidth="1"/>
    <col min="5624" max="5624" width="5.28515625" style="1" customWidth="1"/>
    <col min="5625" max="5625" width="17.28515625" style="1" customWidth="1"/>
    <col min="5626" max="5626" width="57.85546875" style="1" customWidth="1"/>
    <col min="5627" max="5627" width="5.5703125" style="1" customWidth="1"/>
    <col min="5628" max="5628" width="12" style="1" customWidth="1"/>
    <col min="5629" max="5629" width="14.28515625" style="1" customWidth="1"/>
    <col min="5630" max="5630" width="12" style="1" customWidth="1"/>
    <col min="5631" max="5631" width="0.28515625" style="1" customWidth="1"/>
    <col min="5632" max="5632" width="18.28515625" style="1" customWidth="1"/>
    <col min="5633" max="5878" width="9.28515625" style="1"/>
    <col min="5879" max="5879" width="2.85546875" style="1" customWidth="1"/>
    <col min="5880" max="5880" width="5.28515625" style="1" customWidth="1"/>
    <col min="5881" max="5881" width="17.28515625" style="1" customWidth="1"/>
    <col min="5882" max="5882" width="57.85546875" style="1" customWidth="1"/>
    <col min="5883" max="5883" width="5.5703125" style="1" customWidth="1"/>
    <col min="5884" max="5884" width="12" style="1" customWidth="1"/>
    <col min="5885" max="5885" width="14.28515625" style="1" customWidth="1"/>
    <col min="5886" max="5886" width="12" style="1" customWidth="1"/>
    <col min="5887" max="5887" width="0.28515625" style="1" customWidth="1"/>
    <col min="5888" max="5888" width="18.28515625" style="1" customWidth="1"/>
    <col min="5889" max="6134" width="9.28515625" style="1"/>
    <col min="6135" max="6135" width="2.85546875" style="1" customWidth="1"/>
    <col min="6136" max="6136" width="5.28515625" style="1" customWidth="1"/>
    <col min="6137" max="6137" width="17.28515625" style="1" customWidth="1"/>
    <col min="6138" max="6138" width="57.85546875" style="1" customWidth="1"/>
    <col min="6139" max="6139" width="5.5703125" style="1" customWidth="1"/>
    <col min="6140" max="6140" width="12" style="1" customWidth="1"/>
    <col min="6141" max="6141" width="14.28515625" style="1" customWidth="1"/>
    <col min="6142" max="6142" width="12" style="1" customWidth="1"/>
    <col min="6143" max="6143" width="0.28515625" style="1" customWidth="1"/>
    <col min="6144" max="6144" width="18.28515625" style="1" customWidth="1"/>
    <col min="6145" max="6390" width="9.28515625" style="1"/>
    <col min="6391" max="6391" width="2.85546875" style="1" customWidth="1"/>
    <col min="6392" max="6392" width="5.28515625" style="1" customWidth="1"/>
    <col min="6393" max="6393" width="17.28515625" style="1" customWidth="1"/>
    <col min="6394" max="6394" width="57.85546875" style="1" customWidth="1"/>
    <col min="6395" max="6395" width="5.5703125" style="1" customWidth="1"/>
    <col min="6396" max="6396" width="12" style="1" customWidth="1"/>
    <col min="6397" max="6397" width="14.28515625" style="1" customWidth="1"/>
    <col min="6398" max="6398" width="12" style="1" customWidth="1"/>
    <col min="6399" max="6399" width="0.28515625" style="1" customWidth="1"/>
    <col min="6400" max="6400" width="18.28515625" style="1" customWidth="1"/>
    <col min="6401" max="6646" width="9.28515625" style="1"/>
    <col min="6647" max="6647" width="2.85546875" style="1" customWidth="1"/>
    <col min="6648" max="6648" width="5.28515625" style="1" customWidth="1"/>
    <col min="6649" max="6649" width="17.28515625" style="1" customWidth="1"/>
    <col min="6650" max="6650" width="57.85546875" style="1" customWidth="1"/>
    <col min="6651" max="6651" width="5.5703125" style="1" customWidth="1"/>
    <col min="6652" max="6652" width="12" style="1" customWidth="1"/>
    <col min="6653" max="6653" width="14.28515625" style="1" customWidth="1"/>
    <col min="6654" max="6654" width="12" style="1" customWidth="1"/>
    <col min="6655" max="6655" width="0.28515625" style="1" customWidth="1"/>
    <col min="6656" max="6656" width="18.28515625" style="1" customWidth="1"/>
    <col min="6657" max="6902" width="9.28515625" style="1"/>
    <col min="6903" max="6903" width="2.85546875" style="1" customWidth="1"/>
    <col min="6904" max="6904" width="5.28515625" style="1" customWidth="1"/>
    <col min="6905" max="6905" width="17.28515625" style="1" customWidth="1"/>
    <col min="6906" max="6906" width="57.85546875" style="1" customWidth="1"/>
    <col min="6907" max="6907" width="5.5703125" style="1" customWidth="1"/>
    <col min="6908" max="6908" width="12" style="1" customWidth="1"/>
    <col min="6909" max="6909" width="14.28515625" style="1" customWidth="1"/>
    <col min="6910" max="6910" width="12" style="1" customWidth="1"/>
    <col min="6911" max="6911" width="0.28515625" style="1" customWidth="1"/>
    <col min="6912" max="6912" width="18.28515625" style="1" customWidth="1"/>
    <col min="6913" max="7158" width="9.28515625" style="1"/>
    <col min="7159" max="7159" width="2.85546875" style="1" customWidth="1"/>
    <col min="7160" max="7160" width="5.28515625" style="1" customWidth="1"/>
    <col min="7161" max="7161" width="17.28515625" style="1" customWidth="1"/>
    <col min="7162" max="7162" width="57.85546875" style="1" customWidth="1"/>
    <col min="7163" max="7163" width="5.5703125" style="1" customWidth="1"/>
    <col min="7164" max="7164" width="12" style="1" customWidth="1"/>
    <col min="7165" max="7165" width="14.28515625" style="1" customWidth="1"/>
    <col min="7166" max="7166" width="12" style="1" customWidth="1"/>
    <col min="7167" max="7167" width="0.28515625" style="1" customWidth="1"/>
    <col min="7168" max="7168" width="18.28515625" style="1" customWidth="1"/>
    <col min="7169" max="7414" width="9.28515625" style="1"/>
    <col min="7415" max="7415" width="2.85546875" style="1" customWidth="1"/>
    <col min="7416" max="7416" width="5.28515625" style="1" customWidth="1"/>
    <col min="7417" max="7417" width="17.28515625" style="1" customWidth="1"/>
    <col min="7418" max="7418" width="57.85546875" style="1" customWidth="1"/>
    <col min="7419" max="7419" width="5.5703125" style="1" customWidth="1"/>
    <col min="7420" max="7420" width="12" style="1" customWidth="1"/>
    <col min="7421" max="7421" width="14.28515625" style="1" customWidth="1"/>
    <col min="7422" max="7422" width="12" style="1" customWidth="1"/>
    <col min="7423" max="7423" width="0.28515625" style="1" customWidth="1"/>
    <col min="7424" max="7424" width="18.28515625" style="1" customWidth="1"/>
    <col min="7425" max="7670" width="9.28515625" style="1"/>
    <col min="7671" max="7671" width="2.85546875" style="1" customWidth="1"/>
    <col min="7672" max="7672" width="5.28515625" style="1" customWidth="1"/>
    <col min="7673" max="7673" width="17.28515625" style="1" customWidth="1"/>
    <col min="7674" max="7674" width="57.85546875" style="1" customWidth="1"/>
    <col min="7675" max="7675" width="5.5703125" style="1" customWidth="1"/>
    <col min="7676" max="7676" width="12" style="1" customWidth="1"/>
    <col min="7677" max="7677" width="14.28515625" style="1" customWidth="1"/>
    <col min="7678" max="7678" width="12" style="1" customWidth="1"/>
    <col min="7679" max="7679" width="0.28515625" style="1" customWidth="1"/>
    <col min="7680" max="7680" width="18.28515625" style="1" customWidth="1"/>
    <col min="7681" max="7926" width="9.28515625" style="1"/>
    <col min="7927" max="7927" width="2.85546875" style="1" customWidth="1"/>
    <col min="7928" max="7928" width="5.28515625" style="1" customWidth="1"/>
    <col min="7929" max="7929" width="17.28515625" style="1" customWidth="1"/>
    <col min="7930" max="7930" width="57.85546875" style="1" customWidth="1"/>
    <col min="7931" max="7931" width="5.5703125" style="1" customWidth="1"/>
    <col min="7932" max="7932" width="12" style="1" customWidth="1"/>
    <col min="7933" max="7933" width="14.28515625" style="1" customWidth="1"/>
    <col min="7934" max="7934" width="12" style="1" customWidth="1"/>
    <col min="7935" max="7935" width="0.28515625" style="1" customWidth="1"/>
    <col min="7936" max="7936" width="18.28515625" style="1" customWidth="1"/>
    <col min="7937" max="8182" width="9.28515625" style="1"/>
    <col min="8183" max="8183" width="2.85546875" style="1" customWidth="1"/>
    <col min="8184" max="8184" width="5.28515625" style="1" customWidth="1"/>
    <col min="8185" max="8185" width="17.28515625" style="1" customWidth="1"/>
    <col min="8186" max="8186" width="57.85546875" style="1" customWidth="1"/>
    <col min="8187" max="8187" width="5.5703125" style="1" customWidth="1"/>
    <col min="8188" max="8188" width="12" style="1" customWidth="1"/>
    <col min="8189" max="8189" width="14.28515625" style="1" customWidth="1"/>
    <col min="8190" max="8190" width="12" style="1" customWidth="1"/>
    <col min="8191" max="8191" width="0.28515625" style="1" customWidth="1"/>
    <col min="8192" max="8192" width="18.28515625" style="1" customWidth="1"/>
    <col min="8193" max="8438" width="9.28515625" style="1"/>
    <col min="8439" max="8439" width="2.85546875" style="1" customWidth="1"/>
    <col min="8440" max="8440" width="5.28515625" style="1" customWidth="1"/>
    <col min="8441" max="8441" width="17.28515625" style="1" customWidth="1"/>
    <col min="8442" max="8442" width="57.85546875" style="1" customWidth="1"/>
    <col min="8443" max="8443" width="5.5703125" style="1" customWidth="1"/>
    <col min="8444" max="8444" width="12" style="1" customWidth="1"/>
    <col min="8445" max="8445" width="14.28515625" style="1" customWidth="1"/>
    <col min="8446" max="8446" width="12" style="1" customWidth="1"/>
    <col min="8447" max="8447" width="0.28515625" style="1" customWidth="1"/>
    <col min="8448" max="8448" width="18.28515625" style="1" customWidth="1"/>
    <col min="8449" max="8694" width="9.28515625" style="1"/>
    <col min="8695" max="8695" width="2.85546875" style="1" customWidth="1"/>
    <col min="8696" max="8696" width="5.28515625" style="1" customWidth="1"/>
    <col min="8697" max="8697" width="17.28515625" style="1" customWidth="1"/>
    <col min="8698" max="8698" width="57.85546875" style="1" customWidth="1"/>
    <col min="8699" max="8699" width="5.5703125" style="1" customWidth="1"/>
    <col min="8700" max="8700" width="12" style="1" customWidth="1"/>
    <col min="8701" max="8701" width="14.28515625" style="1" customWidth="1"/>
    <col min="8702" max="8702" width="12" style="1" customWidth="1"/>
    <col min="8703" max="8703" width="0.28515625" style="1" customWidth="1"/>
    <col min="8704" max="8704" width="18.28515625" style="1" customWidth="1"/>
    <col min="8705" max="8950" width="9.28515625" style="1"/>
    <col min="8951" max="8951" width="2.85546875" style="1" customWidth="1"/>
    <col min="8952" max="8952" width="5.28515625" style="1" customWidth="1"/>
    <col min="8953" max="8953" width="17.28515625" style="1" customWidth="1"/>
    <col min="8954" max="8954" width="57.85546875" style="1" customWidth="1"/>
    <col min="8955" max="8955" width="5.5703125" style="1" customWidth="1"/>
    <col min="8956" max="8956" width="12" style="1" customWidth="1"/>
    <col min="8957" max="8957" width="14.28515625" style="1" customWidth="1"/>
    <col min="8958" max="8958" width="12" style="1" customWidth="1"/>
    <col min="8959" max="8959" width="0.28515625" style="1" customWidth="1"/>
    <col min="8960" max="8960" width="18.28515625" style="1" customWidth="1"/>
    <col min="8961" max="9206" width="9.28515625" style="1"/>
    <col min="9207" max="9207" width="2.85546875" style="1" customWidth="1"/>
    <col min="9208" max="9208" width="5.28515625" style="1" customWidth="1"/>
    <col min="9209" max="9209" width="17.28515625" style="1" customWidth="1"/>
    <col min="9210" max="9210" width="57.85546875" style="1" customWidth="1"/>
    <col min="9211" max="9211" width="5.5703125" style="1" customWidth="1"/>
    <col min="9212" max="9212" width="12" style="1" customWidth="1"/>
    <col min="9213" max="9213" width="14.28515625" style="1" customWidth="1"/>
    <col min="9214" max="9214" width="12" style="1" customWidth="1"/>
    <col min="9215" max="9215" width="0.28515625" style="1" customWidth="1"/>
    <col min="9216" max="9216" width="18.28515625" style="1" customWidth="1"/>
    <col min="9217" max="9462" width="9.28515625" style="1"/>
    <col min="9463" max="9463" width="2.85546875" style="1" customWidth="1"/>
    <col min="9464" max="9464" width="5.28515625" style="1" customWidth="1"/>
    <col min="9465" max="9465" width="17.28515625" style="1" customWidth="1"/>
    <col min="9466" max="9466" width="57.85546875" style="1" customWidth="1"/>
    <col min="9467" max="9467" width="5.5703125" style="1" customWidth="1"/>
    <col min="9468" max="9468" width="12" style="1" customWidth="1"/>
    <col min="9469" max="9469" width="14.28515625" style="1" customWidth="1"/>
    <col min="9470" max="9470" width="12" style="1" customWidth="1"/>
    <col min="9471" max="9471" width="0.28515625" style="1" customWidth="1"/>
    <col min="9472" max="9472" width="18.28515625" style="1" customWidth="1"/>
    <col min="9473" max="9718" width="9.28515625" style="1"/>
    <col min="9719" max="9719" width="2.85546875" style="1" customWidth="1"/>
    <col min="9720" max="9720" width="5.28515625" style="1" customWidth="1"/>
    <col min="9721" max="9721" width="17.28515625" style="1" customWidth="1"/>
    <col min="9722" max="9722" width="57.85546875" style="1" customWidth="1"/>
    <col min="9723" max="9723" width="5.5703125" style="1" customWidth="1"/>
    <col min="9724" max="9724" width="12" style="1" customWidth="1"/>
    <col min="9725" max="9725" width="14.28515625" style="1" customWidth="1"/>
    <col min="9726" max="9726" width="12" style="1" customWidth="1"/>
    <col min="9727" max="9727" width="0.28515625" style="1" customWidth="1"/>
    <col min="9728" max="9728" width="18.28515625" style="1" customWidth="1"/>
    <col min="9729" max="9974" width="9.28515625" style="1"/>
    <col min="9975" max="9975" width="2.85546875" style="1" customWidth="1"/>
    <col min="9976" max="9976" width="5.28515625" style="1" customWidth="1"/>
    <col min="9977" max="9977" width="17.28515625" style="1" customWidth="1"/>
    <col min="9978" max="9978" width="57.85546875" style="1" customWidth="1"/>
    <col min="9979" max="9979" width="5.5703125" style="1" customWidth="1"/>
    <col min="9980" max="9980" width="12" style="1" customWidth="1"/>
    <col min="9981" max="9981" width="14.28515625" style="1" customWidth="1"/>
    <col min="9982" max="9982" width="12" style="1" customWidth="1"/>
    <col min="9983" max="9983" width="0.28515625" style="1" customWidth="1"/>
    <col min="9984" max="9984" width="18.28515625" style="1" customWidth="1"/>
    <col min="9985" max="10230" width="9.28515625" style="1"/>
    <col min="10231" max="10231" width="2.85546875" style="1" customWidth="1"/>
    <col min="10232" max="10232" width="5.28515625" style="1" customWidth="1"/>
    <col min="10233" max="10233" width="17.28515625" style="1" customWidth="1"/>
    <col min="10234" max="10234" width="57.85546875" style="1" customWidth="1"/>
    <col min="10235" max="10235" width="5.5703125" style="1" customWidth="1"/>
    <col min="10236" max="10236" width="12" style="1" customWidth="1"/>
    <col min="10237" max="10237" width="14.28515625" style="1" customWidth="1"/>
    <col min="10238" max="10238" width="12" style="1" customWidth="1"/>
    <col min="10239" max="10239" width="0.28515625" style="1" customWidth="1"/>
    <col min="10240" max="10240" width="18.28515625" style="1" customWidth="1"/>
    <col min="10241" max="10486" width="9.28515625" style="1"/>
    <col min="10487" max="10487" width="2.85546875" style="1" customWidth="1"/>
    <col min="10488" max="10488" width="5.28515625" style="1" customWidth="1"/>
    <col min="10489" max="10489" width="17.28515625" style="1" customWidth="1"/>
    <col min="10490" max="10490" width="57.85546875" style="1" customWidth="1"/>
    <col min="10491" max="10491" width="5.5703125" style="1" customWidth="1"/>
    <col min="10492" max="10492" width="12" style="1" customWidth="1"/>
    <col min="10493" max="10493" width="14.28515625" style="1" customWidth="1"/>
    <col min="10494" max="10494" width="12" style="1" customWidth="1"/>
    <col min="10495" max="10495" width="0.28515625" style="1" customWidth="1"/>
    <col min="10496" max="10496" width="18.28515625" style="1" customWidth="1"/>
    <col min="10497" max="10742" width="9.28515625" style="1"/>
    <col min="10743" max="10743" width="2.85546875" style="1" customWidth="1"/>
    <col min="10744" max="10744" width="5.28515625" style="1" customWidth="1"/>
    <col min="10745" max="10745" width="17.28515625" style="1" customWidth="1"/>
    <col min="10746" max="10746" width="57.85546875" style="1" customWidth="1"/>
    <col min="10747" max="10747" width="5.5703125" style="1" customWidth="1"/>
    <col min="10748" max="10748" width="12" style="1" customWidth="1"/>
    <col min="10749" max="10749" width="14.28515625" style="1" customWidth="1"/>
    <col min="10750" max="10750" width="12" style="1" customWidth="1"/>
    <col min="10751" max="10751" width="0.28515625" style="1" customWidth="1"/>
    <col min="10752" max="10752" width="18.28515625" style="1" customWidth="1"/>
    <col min="10753" max="10998" width="9.28515625" style="1"/>
    <col min="10999" max="10999" width="2.85546875" style="1" customWidth="1"/>
    <col min="11000" max="11000" width="5.28515625" style="1" customWidth="1"/>
    <col min="11001" max="11001" width="17.28515625" style="1" customWidth="1"/>
    <col min="11002" max="11002" width="57.85546875" style="1" customWidth="1"/>
    <col min="11003" max="11003" width="5.5703125" style="1" customWidth="1"/>
    <col min="11004" max="11004" width="12" style="1" customWidth="1"/>
    <col min="11005" max="11005" width="14.28515625" style="1" customWidth="1"/>
    <col min="11006" max="11006" width="12" style="1" customWidth="1"/>
    <col min="11007" max="11007" width="0.28515625" style="1" customWidth="1"/>
    <col min="11008" max="11008" width="18.28515625" style="1" customWidth="1"/>
    <col min="11009" max="11254" width="9.28515625" style="1"/>
    <col min="11255" max="11255" width="2.85546875" style="1" customWidth="1"/>
    <col min="11256" max="11256" width="5.28515625" style="1" customWidth="1"/>
    <col min="11257" max="11257" width="17.28515625" style="1" customWidth="1"/>
    <col min="11258" max="11258" width="57.85546875" style="1" customWidth="1"/>
    <col min="11259" max="11259" width="5.5703125" style="1" customWidth="1"/>
    <col min="11260" max="11260" width="12" style="1" customWidth="1"/>
    <col min="11261" max="11261" width="14.28515625" style="1" customWidth="1"/>
    <col min="11262" max="11262" width="12" style="1" customWidth="1"/>
    <col min="11263" max="11263" width="0.28515625" style="1" customWidth="1"/>
    <col min="11264" max="11264" width="18.28515625" style="1" customWidth="1"/>
    <col min="11265" max="11510" width="9.28515625" style="1"/>
    <col min="11511" max="11511" width="2.85546875" style="1" customWidth="1"/>
    <col min="11512" max="11512" width="5.28515625" style="1" customWidth="1"/>
    <col min="11513" max="11513" width="17.28515625" style="1" customWidth="1"/>
    <col min="11514" max="11514" width="57.85546875" style="1" customWidth="1"/>
    <col min="11515" max="11515" width="5.5703125" style="1" customWidth="1"/>
    <col min="11516" max="11516" width="12" style="1" customWidth="1"/>
    <col min="11517" max="11517" width="14.28515625" style="1" customWidth="1"/>
    <col min="11518" max="11518" width="12" style="1" customWidth="1"/>
    <col min="11519" max="11519" width="0.28515625" style="1" customWidth="1"/>
    <col min="11520" max="11520" width="18.28515625" style="1" customWidth="1"/>
    <col min="11521" max="11766" width="9.28515625" style="1"/>
    <col min="11767" max="11767" width="2.85546875" style="1" customWidth="1"/>
    <col min="11768" max="11768" width="5.28515625" style="1" customWidth="1"/>
    <col min="11769" max="11769" width="17.28515625" style="1" customWidth="1"/>
    <col min="11770" max="11770" width="57.85546875" style="1" customWidth="1"/>
    <col min="11771" max="11771" width="5.5703125" style="1" customWidth="1"/>
    <col min="11772" max="11772" width="12" style="1" customWidth="1"/>
    <col min="11773" max="11773" width="14.28515625" style="1" customWidth="1"/>
    <col min="11774" max="11774" width="12" style="1" customWidth="1"/>
    <col min="11775" max="11775" width="0.28515625" style="1" customWidth="1"/>
    <col min="11776" max="11776" width="18.28515625" style="1" customWidth="1"/>
    <col min="11777" max="12022" width="9.28515625" style="1"/>
    <col min="12023" max="12023" width="2.85546875" style="1" customWidth="1"/>
    <col min="12024" max="12024" width="5.28515625" style="1" customWidth="1"/>
    <col min="12025" max="12025" width="17.28515625" style="1" customWidth="1"/>
    <col min="12026" max="12026" width="57.85546875" style="1" customWidth="1"/>
    <col min="12027" max="12027" width="5.5703125" style="1" customWidth="1"/>
    <col min="12028" max="12028" width="12" style="1" customWidth="1"/>
    <col min="12029" max="12029" width="14.28515625" style="1" customWidth="1"/>
    <col min="12030" max="12030" width="12" style="1" customWidth="1"/>
    <col min="12031" max="12031" width="0.28515625" style="1" customWidth="1"/>
    <col min="12032" max="12032" width="18.28515625" style="1" customWidth="1"/>
    <col min="12033" max="12278" width="9.28515625" style="1"/>
    <col min="12279" max="12279" width="2.85546875" style="1" customWidth="1"/>
    <col min="12280" max="12280" width="5.28515625" style="1" customWidth="1"/>
    <col min="12281" max="12281" width="17.28515625" style="1" customWidth="1"/>
    <col min="12282" max="12282" width="57.85546875" style="1" customWidth="1"/>
    <col min="12283" max="12283" width="5.5703125" style="1" customWidth="1"/>
    <col min="12284" max="12284" width="12" style="1" customWidth="1"/>
    <col min="12285" max="12285" width="14.28515625" style="1" customWidth="1"/>
    <col min="12286" max="12286" width="12" style="1" customWidth="1"/>
    <col min="12287" max="12287" width="0.28515625" style="1" customWidth="1"/>
    <col min="12288" max="12288" width="18.28515625" style="1" customWidth="1"/>
    <col min="12289" max="12534" width="9.28515625" style="1"/>
    <col min="12535" max="12535" width="2.85546875" style="1" customWidth="1"/>
    <col min="12536" max="12536" width="5.28515625" style="1" customWidth="1"/>
    <col min="12537" max="12537" width="17.28515625" style="1" customWidth="1"/>
    <col min="12538" max="12538" width="57.85546875" style="1" customWidth="1"/>
    <col min="12539" max="12539" width="5.5703125" style="1" customWidth="1"/>
    <col min="12540" max="12540" width="12" style="1" customWidth="1"/>
    <col min="12541" max="12541" width="14.28515625" style="1" customWidth="1"/>
    <col min="12542" max="12542" width="12" style="1" customWidth="1"/>
    <col min="12543" max="12543" width="0.28515625" style="1" customWidth="1"/>
    <col min="12544" max="12544" width="18.28515625" style="1" customWidth="1"/>
    <col min="12545" max="12790" width="9.28515625" style="1"/>
    <col min="12791" max="12791" width="2.85546875" style="1" customWidth="1"/>
    <col min="12792" max="12792" width="5.28515625" style="1" customWidth="1"/>
    <col min="12793" max="12793" width="17.28515625" style="1" customWidth="1"/>
    <col min="12794" max="12794" width="57.85546875" style="1" customWidth="1"/>
    <col min="12795" max="12795" width="5.5703125" style="1" customWidth="1"/>
    <col min="12796" max="12796" width="12" style="1" customWidth="1"/>
    <col min="12797" max="12797" width="14.28515625" style="1" customWidth="1"/>
    <col min="12798" max="12798" width="12" style="1" customWidth="1"/>
    <col min="12799" max="12799" width="0.28515625" style="1" customWidth="1"/>
    <col min="12800" max="12800" width="18.28515625" style="1" customWidth="1"/>
    <col min="12801" max="13046" width="9.28515625" style="1"/>
    <col min="13047" max="13047" width="2.85546875" style="1" customWidth="1"/>
    <col min="13048" max="13048" width="5.28515625" style="1" customWidth="1"/>
    <col min="13049" max="13049" width="17.28515625" style="1" customWidth="1"/>
    <col min="13050" max="13050" width="57.85546875" style="1" customWidth="1"/>
    <col min="13051" max="13051" width="5.5703125" style="1" customWidth="1"/>
    <col min="13052" max="13052" width="12" style="1" customWidth="1"/>
    <col min="13053" max="13053" width="14.28515625" style="1" customWidth="1"/>
    <col min="13054" max="13054" width="12" style="1" customWidth="1"/>
    <col min="13055" max="13055" width="0.28515625" style="1" customWidth="1"/>
    <col min="13056" max="13056" width="18.28515625" style="1" customWidth="1"/>
    <col min="13057" max="13302" width="9.28515625" style="1"/>
    <col min="13303" max="13303" width="2.85546875" style="1" customWidth="1"/>
    <col min="13304" max="13304" width="5.28515625" style="1" customWidth="1"/>
    <col min="13305" max="13305" width="17.28515625" style="1" customWidth="1"/>
    <col min="13306" max="13306" width="57.85546875" style="1" customWidth="1"/>
    <col min="13307" max="13307" width="5.5703125" style="1" customWidth="1"/>
    <col min="13308" max="13308" width="12" style="1" customWidth="1"/>
    <col min="13309" max="13309" width="14.28515625" style="1" customWidth="1"/>
    <col min="13310" max="13310" width="12" style="1" customWidth="1"/>
    <col min="13311" max="13311" width="0.28515625" style="1" customWidth="1"/>
    <col min="13312" max="13312" width="18.28515625" style="1" customWidth="1"/>
    <col min="13313" max="13558" width="9.28515625" style="1"/>
    <col min="13559" max="13559" width="2.85546875" style="1" customWidth="1"/>
    <col min="13560" max="13560" width="5.28515625" style="1" customWidth="1"/>
    <col min="13561" max="13561" width="17.28515625" style="1" customWidth="1"/>
    <col min="13562" max="13562" width="57.85546875" style="1" customWidth="1"/>
    <col min="13563" max="13563" width="5.5703125" style="1" customWidth="1"/>
    <col min="13564" max="13564" width="12" style="1" customWidth="1"/>
    <col min="13565" max="13565" width="14.28515625" style="1" customWidth="1"/>
    <col min="13566" max="13566" width="12" style="1" customWidth="1"/>
    <col min="13567" max="13567" width="0.28515625" style="1" customWidth="1"/>
    <col min="13568" max="13568" width="18.28515625" style="1" customWidth="1"/>
    <col min="13569" max="13814" width="9.28515625" style="1"/>
    <col min="13815" max="13815" width="2.85546875" style="1" customWidth="1"/>
    <col min="13816" max="13816" width="5.28515625" style="1" customWidth="1"/>
    <col min="13817" max="13817" width="17.28515625" style="1" customWidth="1"/>
    <col min="13818" max="13818" width="57.85546875" style="1" customWidth="1"/>
    <col min="13819" max="13819" width="5.5703125" style="1" customWidth="1"/>
    <col min="13820" max="13820" width="12" style="1" customWidth="1"/>
    <col min="13821" max="13821" width="14.28515625" style="1" customWidth="1"/>
    <col min="13822" max="13822" width="12" style="1" customWidth="1"/>
    <col min="13823" max="13823" width="0.28515625" style="1" customWidth="1"/>
    <col min="13824" max="13824" width="18.28515625" style="1" customWidth="1"/>
    <col min="13825" max="14070" width="9.28515625" style="1"/>
    <col min="14071" max="14071" width="2.85546875" style="1" customWidth="1"/>
    <col min="14072" max="14072" width="5.28515625" style="1" customWidth="1"/>
    <col min="14073" max="14073" width="17.28515625" style="1" customWidth="1"/>
    <col min="14074" max="14074" width="57.85546875" style="1" customWidth="1"/>
    <col min="14075" max="14075" width="5.5703125" style="1" customWidth="1"/>
    <col min="14076" max="14076" width="12" style="1" customWidth="1"/>
    <col min="14077" max="14077" width="14.28515625" style="1" customWidth="1"/>
    <col min="14078" max="14078" width="12" style="1" customWidth="1"/>
    <col min="14079" max="14079" width="0.28515625" style="1" customWidth="1"/>
    <col min="14080" max="14080" width="18.28515625" style="1" customWidth="1"/>
    <col min="14081" max="14326" width="9.28515625" style="1"/>
    <col min="14327" max="14327" width="2.85546875" style="1" customWidth="1"/>
    <col min="14328" max="14328" width="5.28515625" style="1" customWidth="1"/>
    <col min="14329" max="14329" width="17.28515625" style="1" customWidth="1"/>
    <col min="14330" max="14330" width="57.85546875" style="1" customWidth="1"/>
    <col min="14331" max="14331" width="5.5703125" style="1" customWidth="1"/>
    <col min="14332" max="14332" width="12" style="1" customWidth="1"/>
    <col min="14333" max="14333" width="14.28515625" style="1" customWidth="1"/>
    <col min="14334" max="14334" width="12" style="1" customWidth="1"/>
    <col min="14335" max="14335" width="0.28515625" style="1" customWidth="1"/>
    <col min="14336" max="14336" width="18.28515625" style="1" customWidth="1"/>
    <col min="14337" max="14582" width="9.28515625" style="1"/>
    <col min="14583" max="14583" width="2.85546875" style="1" customWidth="1"/>
    <col min="14584" max="14584" width="5.28515625" style="1" customWidth="1"/>
    <col min="14585" max="14585" width="17.28515625" style="1" customWidth="1"/>
    <col min="14586" max="14586" width="57.85546875" style="1" customWidth="1"/>
    <col min="14587" max="14587" width="5.5703125" style="1" customWidth="1"/>
    <col min="14588" max="14588" width="12" style="1" customWidth="1"/>
    <col min="14589" max="14589" width="14.28515625" style="1" customWidth="1"/>
    <col min="14590" max="14590" width="12" style="1" customWidth="1"/>
    <col min="14591" max="14591" width="0.28515625" style="1" customWidth="1"/>
    <col min="14592" max="14592" width="18.28515625" style="1" customWidth="1"/>
    <col min="14593" max="14838" width="9.28515625" style="1"/>
    <col min="14839" max="14839" width="2.85546875" style="1" customWidth="1"/>
    <col min="14840" max="14840" width="5.28515625" style="1" customWidth="1"/>
    <col min="14841" max="14841" width="17.28515625" style="1" customWidth="1"/>
    <col min="14842" max="14842" width="57.85546875" style="1" customWidth="1"/>
    <col min="14843" max="14843" width="5.5703125" style="1" customWidth="1"/>
    <col min="14844" max="14844" width="12" style="1" customWidth="1"/>
    <col min="14845" max="14845" width="14.28515625" style="1" customWidth="1"/>
    <col min="14846" max="14846" width="12" style="1" customWidth="1"/>
    <col min="14847" max="14847" width="0.28515625" style="1" customWidth="1"/>
    <col min="14848" max="14848" width="18.28515625" style="1" customWidth="1"/>
    <col min="14849" max="15094" width="9.28515625" style="1"/>
    <col min="15095" max="15095" width="2.85546875" style="1" customWidth="1"/>
    <col min="15096" max="15096" width="5.28515625" style="1" customWidth="1"/>
    <col min="15097" max="15097" width="17.28515625" style="1" customWidth="1"/>
    <col min="15098" max="15098" width="57.85546875" style="1" customWidth="1"/>
    <col min="15099" max="15099" width="5.5703125" style="1" customWidth="1"/>
    <col min="15100" max="15100" width="12" style="1" customWidth="1"/>
    <col min="15101" max="15101" width="14.28515625" style="1" customWidth="1"/>
    <col min="15102" max="15102" width="12" style="1" customWidth="1"/>
    <col min="15103" max="15103" width="0.28515625" style="1" customWidth="1"/>
    <col min="15104" max="15104" width="18.28515625" style="1" customWidth="1"/>
    <col min="15105" max="15350" width="9.28515625" style="1"/>
    <col min="15351" max="15351" width="2.85546875" style="1" customWidth="1"/>
    <col min="15352" max="15352" width="5.28515625" style="1" customWidth="1"/>
    <col min="15353" max="15353" width="17.28515625" style="1" customWidth="1"/>
    <col min="15354" max="15354" width="57.85546875" style="1" customWidth="1"/>
    <col min="15355" max="15355" width="5.5703125" style="1" customWidth="1"/>
    <col min="15356" max="15356" width="12" style="1" customWidth="1"/>
    <col min="15357" max="15357" width="14.28515625" style="1" customWidth="1"/>
    <col min="15358" max="15358" width="12" style="1" customWidth="1"/>
    <col min="15359" max="15359" width="0.28515625" style="1" customWidth="1"/>
    <col min="15360" max="15360" width="18.28515625" style="1" customWidth="1"/>
    <col min="15361" max="15606" width="9.28515625" style="1"/>
    <col min="15607" max="15607" width="2.85546875" style="1" customWidth="1"/>
    <col min="15608" max="15608" width="5.28515625" style="1" customWidth="1"/>
    <col min="15609" max="15609" width="17.28515625" style="1" customWidth="1"/>
    <col min="15610" max="15610" width="57.85546875" style="1" customWidth="1"/>
    <col min="15611" max="15611" width="5.5703125" style="1" customWidth="1"/>
    <col min="15612" max="15612" width="12" style="1" customWidth="1"/>
    <col min="15613" max="15613" width="14.28515625" style="1" customWidth="1"/>
    <col min="15614" max="15614" width="12" style="1" customWidth="1"/>
    <col min="15615" max="15615" width="0.28515625" style="1" customWidth="1"/>
    <col min="15616" max="15616" width="18.28515625" style="1" customWidth="1"/>
    <col min="15617" max="15862" width="9.28515625" style="1"/>
    <col min="15863" max="15863" width="2.85546875" style="1" customWidth="1"/>
    <col min="15864" max="15864" width="5.28515625" style="1" customWidth="1"/>
    <col min="15865" max="15865" width="17.28515625" style="1" customWidth="1"/>
    <col min="15866" max="15866" width="57.85546875" style="1" customWidth="1"/>
    <col min="15867" max="15867" width="5.5703125" style="1" customWidth="1"/>
    <col min="15868" max="15868" width="12" style="1" customWidth="1"/>
    <col min="15869" max="15869" width="14.28515625" style="1" customWidth="1"/>
    <col min="15870" max="15870" width="12" style="1" customWidth="1"/>
    <col min="15871" max="15871" width="0.28515625" style="1" customWidth="1"/>
    <col min="15872" max="15872" width="18.28515625" style="1" customWidth="1"/>
    <col min="15873" max="16118" width="9.28515625" style="1"/>
    <col min="16119" max="16119" width="2.85546875" style="1" customWidth="1"/>
    <col min="16120" max="16120" width="5.28515625" style="1" customWidth="1"/>
    <col min="16121" max="16121" width="17.28515625" style="1" customWidth="1"/>
    <col min="16122" max="16122" width="57.85546875" style="1" customWidth="1"/>
    <col min="16123" max="16123" width="5.5703125" style="1" customWidth="1"/>
    <col min="16124" max="16124" width="12" style="1" customWidth="1"/>
    <col min="16125" max="16125" width="14.28515625" style="1" customWidth="1"/>
    <col min="16126" max="16126" width="12" style="1" customWidth="1"/>
    <col min="16127" max="16127" width="0.28515625" style="1" customWidth="1"/>
    <col min="16128" max="16128" width="18.28515625" style="1" customWidth="1"/>
    <col min="16129" max="16384" width="9.28515625" style="1"/>
  </cols>
  <sheetData>
    <row r="1" spans="2:15" ht="109.5" customHeight="1" x14ac:dyDescent="0.2">
      <c r="B1" s="86"/>
      <c r="C1" s="87"/>
      <c r="D1" s="87"/>
      <c r="E1" s="87"/>
      <c r="F1" s="87"/>
      <c r="G1" s="87"/>
      <c r="H1" s="87"/>
      <c r="I1" s="1"/>
    </row>
    <row r="2" spans="2:15" ht="3" customHeight="1" x14ac:dyDescent="0.25">
      <c r="B2" s="88"/>
      <c r="C2" s="88"/>
      <c r="D2" s="88"/>
      <c r="E2" s="88"/>
      <c r="F2" s="88"/>
      <c r="G2" s="88"/>
      <c r="H2" s="88"/>
      <c r="I2" s="1"/>
    </row>
    <row r="3" spans="2:15" s="4" customFormat="1" ht="27.4" customHeight="1" x14ac:dyDescent="0.25">
      <c r="B3" s="2" t="s">
        <v>0</v>
      </c>
      <c r="C3" s="2"/>
      <c r="D3" s="3"/>
      <c r="H3" s="89" t="s">
        <v>61</v>
      </c>
      <c r="I3" s="89"/>
      <c r="K3" s="5"/>
      <c r="L3" s="5"/>
    </row>
    <row r="4" spans="2:15" s="11" customFormat="1" ht="20.65" customHeight="1" x14ac:dyDescent="0.25">
      <c r="B4" s="6" t="s">
        <v>2</v>
      </c>
      <c r="C4" s="7"/>
      <c r="D4" s="8"/>
      <c r="E4" s="9"/>
      <c r="F4" s="8"/>
      <c r="G4" s="8"/>
      <c r="H4" s="10"/>
    </row>
    <row r="5" spans="2:15" s="11" customFormat="1" ht="20.65" customHeight="1" x14ac:dyDescent="0.25">
      <c r="B5" s="12" t="s">
        <v>58</v>
      </c>
      <c r="C5" s="7"/>
      <c r="D5" s="8"/>
      <c r="E5" s="9"/>
      <c r="F5" s="8"/>
      <c r="G5" s="8"/>
      <c r="H5" s="10"/>
    </row>
    <row r="6" spans="2:15" s="13" customFormat="1" ht="20.25" customHeight="1" x14ac:dyDescent="0.25">
      <c r="B6" s="90" t="s">
        <v>4</v>
      </c>
      <c r="C6" s="90"/>
      <c r="D6" s="90"/>
      <c r="E6" s="90"/>
      <c r="F6" s="90"/>
      <c r="G6" s="90"/>
      <c r="H6" s="90"/>
    </row>
    <row r="7" spans="2:15" s="13" customFormat="1" ht="1.5" customHeight="1" x14ac:dyDescent="0.25">
      <c r="B7" s="14"/>
      <c r="C7" s="14"/>
      <c r="D7" s="14"/>
      <c r="E7" s="15"/>
      <c r="F7" s="16"/>
      <c r="G7" s="15"/>
      <c r="H7" s="15"/>
      <c r="I7" s="15"/>
    </row>
    <row r="8" spans="2:15" ht="21" customHeight="1" x14ac:dyDescent="0.25">
      <c r="B8" s="17" t="s">
        <v>5</v>
      </c>
      <c r="C8" s="17"/>
      <c r="D8" s="17"/>
      <c r="E8" s="18"/>
      <c r="F8" s="19"/>
      <c r="G8" s="18"/>
      <c r="H8" s="18"/>
      <c r="I8" s="18"/>
    </row>
    <row r="9" spans="2:15" ht="6" customHeight="1" x14ac:dyDescent="0.25">
      <c r="B9" s="17"/>
      <c r="C9" s="17"/>
      <c r="D9" s="17"/>
      <c r="E9" s="20"/>
      <c r="F9" s="19"/>
      <c r="G9" s="20"/>
      <c r="H9" s="20"/>
      <c r="I9" s="20"/>
    </row>
    <row r="10" spans="2:15" s="24" customFormat="1" ht="39.75" customHeight="1" x14ac:dyDescent="0.25">
      <c r="B10" s="21" t="s">
        <v>6</v>
      </c>
      <c r="C10" s="22" t="s">
        <v>7</v>
      </c>
      <c r="D10" s="22" t="s">
        <v>8</v>
      </c>
      <c r="E10" s="21" t="s">
        <v>9</v>
      </c>
      <c r="F10" s="21" t="s">
        <v>10</v>
      </c>
      <c r="G10" s="21" t="s">
        <v>11</v>
      </c>
      <c r="H10" s="23" t="s">
        <v>59</v>
      </c>
      <c r="I10" s="21" t="s">
        <v>13</v>
      </c>
    </row>
    <row r="11" spans="2:15" s="24" customFormat="1" ht="24" customHeight="1" x14ac:dyDescent="0.25">
      <c r="B11" s="25">
        <v>1</v>
      </c>
      <c r="C11" s="26" t="s">
        <v>57</v>
      </c>
      <c r="D11" s="25"/>
      <c r="E11" s="25"/>
      <c r="F11" s="27"/>
      <c r="G11" s="27"/>
      <c r="H11" s="27"/>
      <c r="I11" s="27"/>
      <c r="L11" s="24" t="s">
        <v>15</v>
      </c>
      <c r="M11" s="24" t="s">
        <v>16</v>
      </c>
      <c r="N11" s="24" t="s">
        <v>17</v>
      </c>
      <c r="O11" s="24" t="s">
        <v>18</v>
      </c>
    </row>
    <row r="12" spans="2:15" s="24" customFormat="1" ht="116.45" customHeight="1" x14ac:dyDescent="0.25">
      <c r="B12" s="28">
        <v>1.1000000000000001</v>
      </c>
      <c r="C12" s="29" t="s">
        <v>19</v>
      </c>
      <c r="D12" s="30" t="s">
        <v>60</v>
      </c>
      <c r="E12" s="31">
        <v>2</v>
      </c>
      <c r="F12" s="32">
        <f>140000000*0.99</f>
        <v>138600000</v>
      </c>
      <c r="G12" s="33">
        <f>E12*F12</f>
        <v>277200000</v>
      </c>
      <c r="H12" s="34">
        <f>G12*0.08</f>
        <v>22176000</v>
      </c>
      <c r="I12" s="34">
        <f>H12+G12</f>
        <v>299376000</v>
      </c>
      <c r="J12" s="32">
        <v>5150</v>
      </c>
      <c r="K12" s="24">
        <v>390</v>
      </c>
      <c r="L12" s="35">
        <v>0.05</v>
      </c>
      <c r="M12" s="36">
        <f>J12*(1-L12)+K12</f>
        <v>5282.5</v>
      </c>
      <c r="N12" s="24">
        <v>26600</v>
      </c>
      <c r="O12" s="36">
        <f>M12*N12</f>
        <v>140514500</v>
      </c>
    </row>
    <row r="13" spans="2:15" s="24" customFormat="1" ht="175.7" customHeight="1" x14ac:dyDescent="0.25">
      <c r="B13" s="28">
        <v>1.2</v>
      </c>
      <c r="C13" s="29" t="s">
        <v>21</v>
      </c>
      <c r="D13" s="30" t="s">
        <v>22</v>
      </c>
      <c r="E13" s="31">
        <v>1</v>
      </c>
      <c r="F13" s="32">
        <f>270000000*0.99</f>
        <v>267300000</v>
      </c>
      <c r="G13" s="33">
        <f>E13*F13</f>
        <v>267300000</v>
      </c>
      <c r="H13" s="34"/>
      <c r="I13" s="34">
        <f>H13+G13</f>
        <v>267300000</v>
      </c>
      <c r="J13" s="32">
        <f>3576.48*3</f>
        <v>10729.44</v>
      </c>
      <c r="L13" s="35">
        <v>0.05</v>
      </c>
      <c r="M13" s="36">
        <f>J13*(1-L13)+K13</f>
        <v>10192.968000000001</v>
      </c>
      <c r="N13" s="24">
        <v>26600</v>
      </c>
      <c r="O13" s="36">
        <f>M13*N13</f>
        <v>271132948.80000001</v>
      </c>
    </row>
    <row r="14" spans="2:15" s="24" customFormat="1" ht="24" customHeight="1" x14ac:dyDescent="0.25">
      <c r="B14" s="25">
        <v>2</v>
      </c>
      <c r="C14" s="26" t="s">
        <v>23</v>
      </c>
      <c r="D14" s="25"/>
      <c r="E14" s="25"/>
      <c r="F14" s="27"/>
      <c r="G14" s="27"/>
      <c r="H14" s="27"/>
      <c r="I14" s="27"/>
    </row>
    <row r="15" spans="2:15" s="24" customFormat="1" ht="70.5" customHeight="1" x14ac:dyDescent="0.25">
      <c r="B15" s="37"/>
      <c r="C15" s="37" t="s">
        <v>24</v>
      </c>
      <c r="D15" s="38" t="s">
        <v>25</v>
      </c>
      <c r="E15" s="39">
        <v>1</v>
      </c>
      <c r="F15" s="32"/>
      <c r="G15" s="40"/>
      <c r="H15" s="41"/>
      <c r="I15" s="41"/>
    </row>
    <row r="16" spans="2:15" s="44" customFormat="1" ht="24" customHeight="1" x14ac:dyDescent="0.25">
      <c r="B16" s="91" t="s">
        <v>26</v>
      </c>
      <c r="C16" s="91"/>
      <c r="D16" s="91"/>
      <c r="E16" s="91"/>
      <c r="F16" s="91"/>
      <c r="G16" s="42">
        <f>SUM(G11:G15)</f>
        <v>544500000</v>
      </c>
      <c r="H16" s="41">
        <f>SUM(H11:H15)</f>
        <v>22176000</v>
      </c>
      <c r="I16" s="43">
        <f>H16+G16</f>
        <v>566676000</v>
      </c>
    </row>
    <row r="17" spans="2:9" s="48" customFormat="1" ht="21.75" customHeight="1" x14ac:dyDescent="0.2">
      <c r="B17" s="45"/>
      <c r="C17" s="46" t="s">
        <v>27</v>
      </c>
      <c r="D17" s="45"/>
      <c r="E17" s="18"/>
      <c r="F17" s="47"/>
      <c r="G17" s="18"/>
      <c r="H17" s="18"/>
      <c r="I17" s="18"/>
    </row>
    <row r="18" spans="2:9" s="48" customFormat="1" ht="6.75" customHeight="1" x14ac:dyDescent="0.2">
      <c r="B18" s="45"/>
      <c r="C18" s="46"/>
      <c r="D18" s="45"/>
      <c r="E18" s="18"/>
      <c r="F18" s="47"/>
      <c r="G18" s="18"/>
      <c r="H18" s="18"/>
      <c r="I18" s="18"/>
    </row>
    <row r="19" spans="2:9" s="48" customFormat="1" ht="15" customHeight="1" x14ac:dyDescent="0.2">
      <c r="B19" s="49">
        <v>1</v>
      </c>
      <c r="C19" s="50" t="s">
        <v>28</v>
      </c>
      <c r="D19" s="17"/>
      <c r="E19" s="18"/>
      <c r="F19" s="47"/>
      <c r="G19" s="18"/>
      <c r="H19" s="18"/>
      <c r="I19" s="18"/>
    </row>
    <row r="20" spans="2:9" s="48" customFormat="1" ht="15" customHeight="1" x14ac:dyDescent="0.2">
      <c r="B20" s="49">
        <v>2</v>
      </c>
      <c r="C20" s="51" t="s">
        <v>29</v>
      </c>
      <c r="D20" s="17"/>
      <c r="E20" s="18"/>
      <c r="F20" s="47"/>
      <c r="G20" s="18"/>
      <c r="H20" s="18"/>
      <c r="I20" s="18"/>
    </row>
    <row r="21" spans="2:9" s="48" customFormat="1" ht="15" customHeight="1" x14ac:dyDescent="0.25">
      <c r="B21" s="49">
        <v>3</v>
      </c>
      <c r="C21" s="50" t="s">
        <v>30</v>
      </c>
      <c r="D21" s="45"/>
      <c r="E21" s="18"/>
      <c r="F21" s="47"/>
      <c r="G21" s="52"/>
      <c r="H21" s="52"/>
      <c r="I21" s="18"/>
    </row>
    <row r="22" spans="2:9" s="48" customFormat="1" ht="15" customHeight="1" x14ac:dyDescent="0.2">
      <c r="B22" s="49">
        <v>4</v>
      </c>
      <c r="C22" s="51" t="s">
        <v>31</v>
      </c>
      <c r="D22" s="45"/>
      <c r="E22" s="18"/>
      <c r="F22" s="47"/>
      <c r="G22" s="18"/>
      <c r="H22" s="18"/>
      <c r="I22" s="18"/>
    </row>
    <row r="23" spans="2:9" s="48" customFormat="1" x14ac:dyDescent="0.25">
      <c r="B23" s="49"/>
      <c r="C23" s="92" t="s">
        <v>32</v>
      </c>
      <c r="D23" s="93"/>
      <c r="E23" s="93"/>
      <c r="F23" s="93"/>
      <c r="G23" s="93"/>
      <c r="H23" s="93"/>
    </row>
    <row r="24" spans="2:9" s="48" customFormat="1" ht="15" customHeight="1" x14ac:dyDescent="0.2">
      <c r="B24" s="49">
        <v>6</v>
      </c>
      <c r="C24" s="50" t="s">
        <v>33</v>
      </c>
      <c r="D24" s="45"/>
      <c r="E24" s="18"/>
      <c r="F24" s="47"/>
      <c r="G24" s="18"/>
      <c r="H24" s="18"/>
      <c r="I24" s="18"/>
    </row>
    <row r="25" spans="2:9" s="48" customFormat="1" ht="15" customHeight="1" x14ac:dyDescent="0.2">
      <c r="B25" s="49"/>
      <c r="C25" s="50" t="s">
        <v>34</v>
      </c>
      <c r="D25" s="45"/>
      <c r="E25" s="18"/>
      <c r="F25" s="47"/>
      <c r="G25" s="18"/>
      <c r="H25" s="18"/>
      <c r="I25" s="18"/>
    </row>
    <row r="26" spans="2:9" s="48" customFormat="1" ht="15" customHeight="1" x14ac:dyDescent="0.2">
      <c r="B26" s="49"/>
      <c r="C26" s="50" t="s">
        <v>35</v>
      </c>
      <c r="D26" s="45"/>
      <c r="E26" s="18"/>
      <c r="F26" s="47"/>
      <c r="G26" s="18"/>
      <c r="H26" s="18"/>
      <c r="I26" s="18"/>
    </row>
    <row r="27" spans="2:9" s="48" customFormat="1" ht="15" hidden="1" customHeight="1" x14ac:dyDescent="0.2">
      <c r="B27" s="49"/>
      <c r="C27" s="50"/>
      <c r="D27" s="45"/>
      <c r="E27" s="18"/>
      <c r="F27" s="47"/>
      <c r="G27" s="18"/>
      <c r="H27" s="18"/>
      <c r="I27" s="18"/>
    </row>
    <row r="28" spans="2:9" s="48" customFormat="1" ht="15" customHeight="1" x14ac:dyDescent="0.2">
      <c r="B28" s="49">
        <v>7</v>
      </c>
      <c r="C28" s="51" t="s">
        <v>36</v>
      </c>
      <c r="D28" s="45"/>
      <c r="E28" s="18"/>
      <c r="F28" s="47"/>
      <c r="G28" s="18"/>
      <c r="H28" s="18"/>
      <c r="I28" s="18"/>
    </row>
    <row r="29" spans="2:9" s="48" customFormat="1" ht="15" hidden="1" customHeight="1" x14ac:dyDescent="0.2">
      <c r="B29" s="53" t="s">
        <v>37</v>
      </c>
      <c r="C29" s="51" t="s">
        <v>38</v>
      </c>
      <c r="D29" s="45"/>
      <c r="E29" s="18"/>
      <c r="F29" s="47"/>
      <c r="G29" s="18"/>
      <c r="H29" s="18"/>
      <c r="I29" s="18"/>
    </row>
    <row r="30" spans="2:9" s="48" customFormat="1" ht="15" hidden="1" customHeight="1" x14ac:dyDescent="0.2">
      <c r="B30" s="49">
        <v>8</v>
      </c>
      <c r="C30" s="51" t="s">
        <v>39</v>
      </c>
      <c r="D30" s="45"/>
      <c r="E30" s="18"/>
      <c r="F30" s="47"/>
      <c r="G30" s="18"/>
      <c r="H30" s="18"/>
      <c r="I30" s="18"/>
    </row>
    <row r="31" spans="2:9" s="48" customFormat="1" ht="15" hidden="1" customHeight="1" x14ac:dyDescent="0.2">
      <c r="B31" s="53">
        <v>9</v>
      </c>
      <c r="C31" s="51" t="s">
        <v>38</v>
      </c>
      <c r="D31" s="45"/>
      <c r="E31" s="18"/>
      <c r="F31" s="47"/>
      <c r="G31" s="18"/>
      <c r="H31" s="18"/>
      <c r="I31" s="18"/>
    </row>
    <row r="32" spans="2:9" s="48" customFormat="1" ht="15" hidden="1" customHeight="1" x14ac:dyDescent="0.2">
      <c r="B32" s="49"/>
      <c r="C32" s="51" t="s">
        <v>40</v>
      </c>
      <c r="D32" s="45"/>
      <c r="E32" s="18"/>
      <c r="F32" s="47"/>
      <c r="G32" s="18"/>
      <c r="H32" s="18"/>
      <c r="I32" s="18"/>
    </row>
    <row r="33" spans="1:9" s="48" customFormat="1" x14ac:dyDescent="0.25">
      <c r="B33" s="49"/>
      <c r="C33" s="54" t="s">
        <v>41</v>
      </c>
      <c r="D33" s="45"/>
      <c r="E33" s="18"/>
      <c r="F33" s="47"/>
      <c r="G33" s="18"/>
      <c r="H33" s="18"/>
      <c r="I33" s="18"/>
    </row>
    <row r="34" spans="1:9" s="48" customFormat="1" x14ac:dyDescent="0.25">
      <c r="B34" s="45"/>
      <c r="C34" s="55" t="s">
        <v>42</v>
      </c>
      <c r="D34" s="45"/>
      <c r="E34" s="18"/>
      <c r="F34" s="47"/>
      <c r="G34" s="18"/>
      <c r="H34" s="18"/>
      <c r="I34" s="18"/>
    </row>
    <row r="35" spans="1:9" s="48" customFormat="1" ht="4.5" customHeight="1" x14ac:dyDescent="0.25">
      <c r="B35" s="45"/>
      <c r="C35" s="55"/>
      <c r="D35" s="45"/>
      <c r="E35" s="18"/>
      <c r="F35" s="47"/>
      <c r="G35" s="18"/>
      <c r="H35" s="18"/>
      <c r="I35" s="18"/>
    </row>
    <row r="36" spans="1:9" s="48" customFormat="1" hidden="1" x14ac:dyDescent="0.25">
      <c r="B36" s="45"/>
      <c r="C36" s="55"/>
      <c r="D36" s="45"/>
      <c r="E36" s="18"/>
      <c r="F36" s="47"/>
      <c r="G36" s="18"/>
      <c r="H36" s="18"/>
      <c r="I36" s="18"/>
    </row>
    <row r="37" spans="1:9" ht="18.75" customHeight="1" x14ac:dyDescent="0.25">
      <c r="B37" s="17"/>
      <c r="C37" s="56" t="s">
        <v>43</v>
      </c>
      <c r="D37" s="17"/>
      <c r="E37" s="84"/>
      <c r="F37" s="84"/>
      <c r="G37" s="84"/>
      <c r="H37" s="84"/>
      <c r="I37" s="1"/>
    </row>
    <row r="38" spans="1:9" ht="19.5" customHeight="1" x14ac:dyDescent="0.25">
      <c r="B38" s="57" t="s">
        <v>43</v>
      </c>
      <c r="C38" s="57"/>
      <c r="E38" s="17"/>
      <c r="F38" s="84" t="s">
        <v>44</v>
      </c>
      <c r="G38" s="84"/>
      <c r="H38" s="84"/>
      <c r="I38" s="85"/>
    </row>
    <row r="39" spans="1:9" hidden="1" x14ac:dyDescent="0.25">
      <c r="B39" s="17"/>
      <c r="C39" s="17"/>
      <c r="D39" s="57"/>
      <c r="E39" s="17"/>
      <c r="F39" s="18"/>
      <c r="G39" s="19"/>
      <c r="H39" s="18"/>
      <c r="I39" s="59"/>
    </row>
    <row r="40" spans="1:9" ht="3.4" hidden="1" customHeight="1" x14ac:dyDescent="0.25">
      <c r="B40" s="17"/>
      <c r="C40" s="17"/>
      <c r="D40" s="57"/>
      <c r="E40" s="17"/>
      <c r="F40" s="18"/>
      <c r="G40" s="19"/>
      <c r="H40" s="18"/>
      <c r="I40" s="59"/>
    </row>
    <row r="41" spans="1:9" ht="6.75" hidden="1" customHeight="1" x14ac:dyDescent="0.25">
      <c r="B41" s="17"/>
      <c r="C41" s="17"/>
      <c r="D41" s="17"/>
      <c r="E41" s="17"/>
      <c r="F41" s="20"/>
      <c r="G41" s="1"/>
      <c r="H41" s="1"/>
      <c r="I41" s="20"/>
    </row>
    <row r="42" spans="1:9" s="60" customFormat="1" ht="32.65" customHeight="1" x14ac:dyDescent="0.2">
      <c r="D42" s="61"/>
      <c r="E42" s="12"/>
      <c r="F42" s="12"/>
      <c r="I42" s="24"/>
    </row>
    <row r="43" spans="1:9" s="60" customFormat="1" ht="15" customHeight="1" x14ac:dyDescent="0.2">
      <c r="B43" s="62" t="s">
        <v>45</v>
      </c>
      <c r="C43" s="62"/>
      <c r="E43" s="12"/>
      <c r="F43" s="12"/>
      <c r="G43" s="63"/>
      <c r="H43" s="63"/>
      <c r="I43" s="24"/>
    </row>
    <row r="44" spans="1:9" ht="2.4500000000000002" customHeight="1" x14ac:dyDescent="0.25">
      <c r="E44" s="17"/>
      <c r="F44" s="64"/>
      <c r="G44" s="19"/>
    </row>
    <row r="45" spans="1:9" ht="15" customHeight="1" x14ac:dyDescent="0.25">
      <c r="B45" s="65" t="s">
        <v>46</v>
      </c>
      <c r="C45" s="65"/>
      <c r="E45" s="17"/>
      <c r="F45" s="64"/>
      <c r="G45" s="19"/>
    </row>
    <row r="46" spans="1:9" ht="15" customHeight="1" x14ac:dyDescent="0.25">
      <c r="B46" s="66" t="s">
        <v>47</v>
      </c>
      <c r="C46" s="66"/>
      <c r="D46" s="57"/>
      <c r="E46" s="17"/>
      <c r="F46" s="64"/>
      <c r="G46" s="19"/>
    </row>
    <row r="47" spans="1:9" ht="15.75" customHeight="1" x14ac:dyDescent="0.25">
      <c r="B47" s="67" t="s">
        <v>48</v>
      </c>
      <c r="C47" s="67"/>
      <c r="D47" s="57"/>
      <c r="E47" s="58"/>
      <c r="F47" s="64"/>
      <c r="G47" s="68"/>
    </row>
    <row r="48" spans="1:9" s="58" customFormat="1" ht="15.75" customHeight="1" x14ac:dyDescent="0.25">
      <c r="A48" s="1"/>
      <c r="C48" s="69"/>
      <c r="E48" s="64"/>
      <c r="F48" s="68"/>
      <c r="G48" s="64"/>
      <c r="H48" s="64"/>
      <c r="I48" s="64"/>
    </row>
    <row r="49" spans="1:9" s="58" customFormat="1" ht="15.75" customHeight="1" x14ac:dyDescent="0.25">
      <c r="A49" s="1"/>
      <c r="C49" s="69"/>
      <c r="E49" s="64"/>
      <c r="F49" s="68"/>
      <c r="G49" s="64"/>
      <c r="H49" s="64"/>
      <c r="I49" s="64"/>
    </row>
  </sheetData>
  <mergeCells count="8">
    <mergeCell ref="E37:H37"/>
    <mergeCell ref="F38:I38"/>
    <mergeCell ref="B1:H1"/>
    <mergeCell ref="B2:H2"/>
    <mergeCell ref="H3:I3"/>
    <mergeCell ref="B6:H6"/>
    <mergeCell ref="B16:F16"/>
    <mergeCell ref="C23:H23"/>
  </mergeCells>
  <hyperlinks>
    <hyperlink ref="B47" r:id="rId1" display="http://www.ntssi.vn/" xr:uid="{398DD6D3-50B4-4F43-A664-87B3D3B01768}"/>
  </hyperlinks>
  <pageMargins left="0.35" right="0.22" top="0.3" bottom="0.18" header="0.23" footer="0.14000000000000001"/>
  <pageSetup paperSize="9"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FD3-E700-424A-894E-84CE3B97C430}">
  <sheetPr>
    <pageSetUpPr fitToPage="1"/>
  </sheetPr>
  <dimension ref="A1:O49"/>
  <sheetViews>
    <sheetView view="pageBreakPreview" topLeftCell="A4" zoomScale="97" zoomScaleNormal="100" zoomScaleSheetLayoutView="100" workbookViewId="0">
      <selection activeCell="F12" sqref="F12"/>
    </sheetView>
  </sheetViews>
  <sheetFormatPr defaultRowHeight="12.75" x14ac:dyDescent="0.25"/>
  <cols>
    <col min="1" max="1" width="2.85546875" style="1" customWidth="1"/>
    <col min="2" max="2" width="4.85546875" style="58" customWidth="1"/>
    <col min="3" max="3" width="10.85546875" style="58" customWidth="1"/>
    <col min="4" max="4" width="59.28515625" style="58" customWidth="1"/>
    <col min="5" max="5" width="4.140625" style="64" bestFit="1" customWidth="1"/>
    <col min="6" max="6" width="12.85546875" style="68" bestFit="1" customWidth="1"/>
    <col min="7" max="7" width="14.140625" style="64" bestFit="1" customWidth="1"/>
    <col min="8" max="8" width="13.7109375" style="64" customWidth="1"/>
    <col min="9" max="9" width="15" style="64" customWidth="1"/>
    <col min="10" max="12" width="9.28515625" style="1"/>
    <col min="13" max="13" width="18.5703125" style="1" customWidth="1"/>
    <col min="14" max="14" width="9.28515625" style="1"/>
    <col min="15" max="15" width="18.42578125" style="1" customWidth="1"/>
    <col min="16" max="246" width="9.28515625" style="1"/>
    <col min="247" max="247" width="2.85546875" style="1" customWidth="1"/>
    <col min="248" max="248" width="5.28515625" style="1" customWidth="1"/>
    <col min="249" max="249" width="17.28515625" style="1" customWidth="1"/>
    <col min="250" max="250" width="57.85546875" style="1" customWidth="1"/>
    <col min="251" max="251" width="5.5703125" style="1" customWidth="1"/>
    <col min="252" max="252" width="12" style="1" customWidth="1"/>
    <col min="253" max="253" width="14.28515625" style="1" customWidth="1"/>
    <col min="254" max="254" width="12" style="1" customWidth="1"/>
    <col min="255" max="255" width="0.28515625" style="1" customWidth="1"/>
    <col min="256" max="256" width="18.28515625" style="1" customWidth="1"/>
    <col min="257" max="502" width="9.28515625" style="1"/>
    <col min="503" max="503" width="2.85546875" style="1" customWidth="1"/>
    <col min="504" max="504" width="5.28515625" style="1" customWidth="1"/>
    <col min="505" max="505" width="17.28515625" style="1" customWidth="1"/>
    <col min="506" max="506" width="57.85546875" style="1" customWidth="1"/>
    <col min="507" max="507" width="5.5703125" style="1" customWidth="1"/>
    <col min="508" max="508" width="12" style="1" customWidth="1"/>
    <col min="509" max="509" width="14.28515625" style="1" customWidth="1"/>
    <col min="510" max="510" width="12" style="1" customWidth="1"/>
    <col min="511" max="511" width="0.28515625" style="1" customWidth="1"/>
    <col min="512" max="512" width="18.28515625" style="1" customWidth="1"/>
    <col min="513" max="758" width="9.28515625" style="1"/>
    <col min="759" max="759" width="2.85546875" style="1" customWidth="1"/>
    <col min="760" max="760" width="5.28515625" style="1" customWidth="1"/>
    <col min="761" max="761" width="17.28515625" style="1" customWidth="1"/>
    <col min="762" max="762" width="57.85546875" style="1" customWidth="1"/>
    <col min="763" max="763" width="5.5703125" style="1" customWidth="1"/>
    <col min="764" max="764" width="12" style="1" customWidth="1"/>
    <col min="765" max="765" width="14.28515625" style="1" customWidth="1"/>
    <col min="766" max="766" width="12" style="1" customWidth="1"/>
    <col min="767" max="767" width="0.28515625" style="1" customWidth="1"/>
    <col min="768" max="768" width="18.28515625" style="1" customWidth="1"/>
    <col min="769" max="1014" width="9.28515625" style="1"/>
    <col min="1015" max="1015" width="2.85546875" style="1" customWidth="1"/>
    <col min="1016" max="1016" width="5.28515625" style="1" customWidth="1"/>
    <col min="1017" max="1017" width="17.28515625" style="1" customWidth="1"/>
    <col min="1018" max="1018" width="57.85546875" style="1" customWidth="1"/>
    <col min="1019" max="1019" width="5.5703125" style="1" customWidth="1"/>
    <col min="1020" max="1020" width="12" style="1" customWidth="1"/>
    <col min="1021" max="1021" width="14.28515625" style="1" customWidth="1"/>
    <col min="1022" max="1022" width="12" style="1" customWidth="1"/>
    <col min="1023" max="1023" width="0.28515625" style="1" customWidth="1"/>
    <col min="1024" max="1024" width="18.28515625" style="1" customWidth="1"/>
    <col min="1025" max="1270" width="9.28515625" style="1"/>
    <col min="1271" max="1271" width="2.85546875" style="1" customWidth="1"/>
    <col min="1272" max="1272" width="5.28515625" style="1" customWidth="1"/>
    <col min="1273" max="1273" width="17.28515625" style="1" customWidth="1"/>
    <col min="1274" max="1274" width="57.85546875" style="1" customWidth="1"/>
    <col min="1275" max="1275" width="5.5703125" style="1" customWidth="1"/>
    <col min="1276" max="1276" width="12" style="1" customWidth="1"/>
    <col min="1277" max="1277" width="14.28515625" style="1" customWidth="1"/>
    <col min="1278" max="1278" width="12" style="1" customWidth="1"/>
    <col min="1279" max="1279" width="0.28515625" style="1" customWidth="1"/>
    <col min="1280" max="1280" width="18.28515625" style="1" customWidth="1"/>
    <col min="1281" max="1526" width="9.28515625" style="1"/>
    <col min="1527" max="1527" width="2.85546875" style="1" customWidth="1"/>
    <col min="1528" max="1528" width="5.28515625" style="1" customWidth="1"/>
    <col min="1529" max="1529" width="17.28515625" style="1" customWidth="1"/>
    <col min="1530" max="1530" width="57.85546875" style="1" customWidth="1"/>
    <col min="1531" max="1531" width="5.5703125" style="1" customWidth="1"/>
    <col min="1532" max="1532" width="12" style="1" customWidth="1"/>
    <col min="1533" max="1533" width="14.28515625" style="1" customWidth="1"/>
    <col min="1534" max="1534" width="12" style="1" customWidth="1"/>
    <col min="1535" max="1535" width="0.28515625" style="1" customWidth="1"/>
    <col min="1536" max="1536" width="18.28515625" style="1" customWidth="1"/>
    <col min="1537" max="1782" width="9.28515625" style="1"/>
    <col min="1783" max="1783" width="2.85546875" style="1" customWidth="1"/>
    <col min="1784" max="1784" width="5.28515625" style="1" customWidth="1"/>
    <col min="1785" max="1785" width="17.28515625" style="1" customWidth="1"/>
    <col min="1786" max="1786" width="57.85546875" style="1" customWidth="1"/>
    <col min="1787" max="1787" width="5.5703125" style="1" customWidth="1"/>
    <col min="1788" max="1788" width="12" style="1" customWidth="1"/>
    <col min="1789" max="1789" width="14.28515625" style="1" customWidth="1"/>
    <col min="1790" max="1790" width="12" style="1" customWidth="1"/>
    <col min="1791" max="1791" width="0.28515625" style="1" customWidth="1"/>
    <col min="1792" max="1792" width="18.28515625" style="1" customWidth="1"/>
    <col min="1793" max="2038" width="9.28515625" style="1"/>
    <col min="2039" max="2039" width="2.85546875" style="1" customWidth="1"/>
    <col min="2040" max="2040" width="5.28515625" style="1" customWidth="1"/>
    <col min="2041" max="2041" width="17.28515625" style="1" customWidth="1"/>
    <col min="2042" max="2042" width="57.85546875" style="1" customWidth="1"/>
    <col min="2043" max="2043" width="5.5703125" style="1" customWidth="1"/>
    <col min="2044" max="2044" width="12" style="1" customWidth="1"/>
    <col min="2045" max="2045" width="14.28515625" style="1" customWidth="1"/>
    <col min="2046" max="2046" width="12" style="1" customWidth="1"/>
    <col min="2047" max="2047" width="0.28515625" style="1" customWidth="1"/>
    <col min="2048" max="2048" width="18.28515625" style="1" customWidth="1"/>
    <col min="2049" max="2294" width="9.28515625" style="1"/>
    <col min="2295" max="2295" width="2.85546875" style="1" customWidth="1"/>
    <col min="2296" max="2296" width="5.28515625" style="1" customWidth="1"/>
    <col min="2297" max="2297" width="17.28515625" style="1" customWidth="1"/>
    <col min="2298" max="2298" width="57.85546875" style="1" customWidth="1"/>
    <col min="2299" max="2299" width="5.5703125" style="1" customWidth="1"/>
    <col min="2300" max="2300" width="12" style="1" customWidth="1"/>
    <col min="2301" max="2301" width="14.28515625" style="1" customWidth="1"/>
    <col min="2302" max="2302" width="12" style="1" customWidth="1"/>
    <col min="2303" max="2303" width="0.28515625" style="1" customWidth="1"/>
    <col min="2304" max="2304" width="18.28515625" style="1" customWidth="1"/>
    <col min="2305" max="2550" width="9.28515625" style="1"/>
    <col min="2551" max="2551" width="2.85546875" style="1" customWidth="1"/>
    <col min="2552" max="2552" width="5.28515625" style="1" customWidth="1"/>
    <col min="2553" max="2553" width="17.28515625" style="1" customWidth="1"/>
    <col min="2554" max="2554" width="57.85546875" style="1" customWidth="1"/>
    <col min="2555" max="2555" width="5.5703125" style="1" customWidth="1"/>
    <col min="2556" max="2556" width="12" style="1" customWidth="1"/>
    <col min="2557" max="2557" width="14.28515625" style="1" customWidth="1"/>
    <col min="2558" max="2558" width="12" style="1" customWidth="1"/>
    <col min="2559" max="2559" width="0.28515625" style="1" customWidth="1"/>
    <col min="2560" max="2560" width="18.28515625" style="1" customWidth="1"/>
    <col min="2561" max="2806" width="9.28515625" style="1"/>
    <col min="2807" max="2807" width="2.85546875" style="1" customWidth="1"/>
    <col min="2808" max="2808" width="5.28515625" style="1" customWidth="1"/>
    <col min="2809" max="2809" width="17.28515625" style="1" customWidth="1"/>
    <col min="2810" max="2810" width="57.85546875" style="1" customWidth="1"/>
    <col min="2811" max="2811" width="5.5703125" style="1" customWidth="1"/>
    <col min="2812" max="2812" width="12" style="1" customWidth="1"/>
    <col min="2813" max="2813" width="14.28515625" style="1" customWidth="1"/>
    <col min="2814" max="2814" width="12" style="1" customWidth="1"/>
    <col min="2815" max="2815" width="0.28515625" style="1" customWidth="1"/>
    <col min="2816" max="2816" width="18.28515625" style="1" customWidth="1"/>
    <col min="2817" max="3062" width="9.28515625" style="1"/>
    <col min="3063" max="3063" width="2.85546875" style="1" customWidth="1"/>
    <col min="3064" max="3064" width="5.28515625" style="1" customWidth="1"/>
    <col min="3065" max="3065" width="17.28515625" style="1" customWidth="1"/>
    <col min="3066" max="3066" width="57.85546875" style="1" customWidth="1"/>
    <col min="3067" max="3067" width="5.5703125" style="1" customWidth="1"/>
    <col min="3068" max="3068" width="12" style="1" customWidth="1"/>
    <col min="3069" max="3069" width="14.28515625" style="1" customWidth="1"/>
    <col min="3070" max="3070" width="12" style="1" customWidth="1"/>
    <col min="3071" max="3071" width="0.28515625" style="1" customWidth="1"/>
    <col min="3072" max="3072" width="18.28515625" style="1" customWidth="1"/>
    <col min="3073" max="3318" width="9.28515625" style="1"/>
    <col min="3319" max="3319" width="2.85546875" style="1" customWidth="1"/>
    <col min="3320" max="3320" width="5.28515625" style="1" customWidth="1"/>
    <col min="3321" max="3321" width="17.28515625" style="1" customWidth="1"/>
    <col min="3322" max="3322" width="57.85546875" style="1" customWidth="1"/>
    <col min="3323" max="3323" width="5.5703125" style="1" customWidth="1"/>
    <col min="3324" max="3324" width="12" style="1" customWidth="1"/>
    <col min="3325" max="3325" width="14.28515625" style="1" customWidth="1"/>
    <col min="3326" max="3326" width="12" style="1" customWidth="1"/>
    <col min="3327" max="3327" width="0.28515625" style="1" customWidth="1"/>
    <col min="3328" max="3328" width="18.28515625" style="1" customWidth="1"/>
    <col min="3329" max="3574" width="9.28515625" style="1"/>
    <col min="3575" max="3575" width="2.85546875" style="1" customWidth="1"/>
    <col min="3576" max="3576" width="5.28515625" style="1" customWidth="1"/>
    <col min="3577" max="3577" width="17.28515625" style="1" customWidth="1"/>
    <col min="3578" max="3578" width="57.85546875" style="1" customWidth="1"/>
    <col min="3579" max="3579" width="5.5703125" style="1" customWidth="1"/>
    <col min="3580" max="3580" width="12" style="1" customWidth="1"/>
    <col min="3581" max="3581" width="14.28515625" style="1" customWidth="1"/>
    <col min="3582" max="3582" width="12" style="1" customWidth="1"/>
    <col min="3583" max="3583" width="0.28515625" style="1" customWidth="1"/>
    <col min="3584" max="3584" width="18.28515625" style="1" customWidth="1"/>
    <col min="3585" max="3830" width="9.28515625" style="1"/>
    <col min="3831" max="3831" width="2.85546875" style="1" customWidth="1"/>
    <col min="3832" max="3832" width="5.28515625" style="1" customWidth="1"/>
    <col min="3833" max="3833" width="17.28515625" style="1" customWidth="1"/>
    <col min="3834" max="3834" width="57.85546875" style="1" customWidth="1"/>
    <col min="3835" max="3835" width="5.5703125" style="1" customWidth="1"/>
    <col min="3836" max="3836" width="12" style="1" customWidth="1"/>
    <col min="3837" max="3837" width="14.28515625" style="1" customWidth="1"/>
    <col min="3838" max="3838" width="12" style="1" customWidth="1"/>
    <col min="3839" max="3839" width="0.28515625" style="1" customWidth="1"/>
    <col min="3840" max="3840" width="18.28515625" style="1" customWidth="1"/>
    <col min="3841" max="4086" width="9.28515625" style="1"/>
    <col min="4087" max="4087" width="2.85546875" style="1" customWidth="1"/>
    <col min="4088" max="4088" width="5.28515625" style="1" customWidth="1"/>
    <col min="4089" max="4089" width="17.28515625" style="1" customWidth="1"/>
    <col min="4090" max="4090" width="57.85546875" style="1" customWidth="1"/>
    <col min="4091" max="4091" width="5.5703125" style="1" customWidth="1"/>
    <col min="4092" max="4092" width="12" style="1" customWidth="1"/>
    <col min="4093" max="4093" width="14.28515625" style="1" customWidth="1"/>
    <col min="4094" max="4094" width="12" style="1" customWidth="1"/>
    <col min="4095" max="4095" width="0.28515625" style="1" customWidth="1"/>
    <col min="4096" max="4096" width="18.28515625" style="1" customWidth="1"/>
    <col min="4097" max="4342" width="9.28515625" style="1"/>
    <col min="4343" max="4343" width="2.85546875" style="1" customWidth="1"/>
    <col min="4344" max="4344" width="5.28515625" style="1" customWidth="1"/>
    <col min="4345" max="4345" width="17.28515625" style="1" customWidth="1"/>
    <col min="4346" max="4346" width="57.85546875" style="1" customWidth="1"/>
    <col min="4347" max="4347" width="5.5703125" style="1" customWidth="1"/>
    <col min="4348" max="4348" width="12" style="1" customWidth="1"/>
    <col min="4349" max="4349" width="14.28515625" style="1" customWidth="1"/>
    <col min="4350" max="4350" width="12" style="1" customWidth="1"/>
    <col min="4351" max="4351" width="0.28515625" style="1" customWidth="1"/>
    <col min="4352" max="4352" width="18.28515625" style="1" customWidth="1"/>
    <col min="4353" max="4598" width="9.28515625" style="1"/>
    <col min="4599" max="4599" width="2.85546875" style="1" customWidth="1"/>
    <col min="4600" max="4600" width="5.28515625" style="1" customWidth="1"/>
    <col min="4601" max="4601" width="17.28515625" style="1" customWidth="1"/>
    <col min="4602" max="4602" width="57.85546875" style="1" customWidth="1"/>
    <col min="4603" max="4603" width="5.5703125" style="1" customWidth="1"/>
    <col min="4604" max="4604" width="12" style="1" customWidth="1"/>
    <col min="4605" max="4605" width="14.28515625" style="1" customWidth="1"/>
    <col min="4606" max="4606" width="12" style="1" customWidth="1"/>
    <col min="4607" max="4607" width="0.28515625" style="1" customWidth="1"/>
    <col min="4608" max="4608" width="18.28515625" style="1" customWidth="1"/>
    <col min="4609" max="4854" width="9.28515625" style="1"/>
    <col min="4855" max="4855" width="2.85546875" style="1" customWidth="1"/>
    <col min="4856" max="4856" width="5.28515625" style="1" customWidth="1"/>
    <col min="4857" max="4857" width="17.28515625" style="1" customWidth="1"/>
    <col min="4858" max="4858" width="57.85546875" style="1" customWidth="1"/>
    <col min="4859" max="4859" width="5.5703125" style="1" customWidth="1"/>
    <col min="4860" max="4860" width="12" style="1" customWidth="1"/>
    <col min="4861" max="4861" width="14.28515625" style="1" customWidth="1"/>
    <col min="4862" max="4862" width="12" style="1" customWidth="1"/>
    <col min="4863" max="4863" width="0.28515625" style="1" customWidth="1"/>
    <col min="4864" max="4864" width="18.28515625" style="1" customWidth="1"/>
    <col min="4865" max="5110" width="9.28515625" style="1"/>
    <col min="5111" max="5111" width="2.85546875" style="1" customWidth="1"/>
    <col min="5112" max="5112" width="5.28515625" style="1" customWidth="1"/>
    <col min="5113" max="5113" width="17.28515625" style="1" customWidth="1"/>
    <col min="5114" max="5114" width="57.85546875" style="1" customWidth="1"/>
    <col min="5115" max="5115" width="5.5703125" style="1" customWidth="1"/>
    <col min="5116" max="5116" width="12" style="1" customWidth="1"/>
    <col min="5117" max="5117" width="14.28515625" style="1" customWidth="1"/>
    <col min="5118" max="5118" width="12" style="1" customWidth="1"/>
    <col min="5119" max="5119" width="0.28515625" style="1" customWidth="1"/>
    <col min="5120" max="5120" width="18.28515625" style="1" customWidth="1"/>
    <col min="5121" max="5366" width="9.28515625" style="1"/>
    <col min="5367" max="5367" width="2.85546875" style="1" customWidth="1"/>
    <col min="5368" max="5368" width="5.28515625" style="1" customWidth="1"/>
    <col min="5369" max="5369" width="17.28515625" style="1" customWidth="1"/>
    <col min="5370" max="5370" width="57.85546875" style="1" customWidth="1"/>
    <col min="5371" max="5371" width="5.5703125" style="1" customWidth="1"/>
    <col min="5372" max="5372" width="12" style="1" customWidth="1"/>
    <col min="5373" max="5373" width="14.28515625" style="1" customWidth="1"/>
    <col min="5374" max="5374" width="12" style="1" customWidth="1"/>
    <col min="5375" max="5375" width="0.28515625" style="1" customWidth="1"/>
    <col min="5376" max="5376" width="18.28515625" style="1" customWidth="1"/>
    <col min="5377" max="5622" width="9.28515625" style="1"/>
    <col min="5623" max="5623" width="2.85546875" style="1" customWidth="1"/>
    <col min="5624" max="5624" width="5.28515625" style="1" customWidth="1"/>
    <col min="5625" max="5625" width="17.28515625" style="1" customWidth="1"/>
    <col min="5626" max="5626" width="57.85546875" style="1" customWidth="1"/>
    <col min="5627" max="5627" width="5.5703125" style="1" customWidth="1"/>
    <col min="5628" max="5628" width="12" style="1" customWidth="1"/>
    <col min="5629" max="5629" width="14.28515625" style="1" customWidth="1"/>
    <col min="5630" max="5630" width="12" style="1" customWidth="1"/>
    <col min="5631" max="5631" width="0.28515625" style="1" customWidth="1"/>
    <col min="5632" max="5632" width="18.28515625" style="1" customWidth="1"/>
    <col min="5633" max="5878" width="9.28515625" style="1"/>
    <col min="5879" max="5879" width="2.85546875" style="1" customWidth="1"/>
    <col min="5880" max="5880" width="5.28515625" style="1" customWidth="1"/>
    <col min="5881" max="5881" width="17.28515625" style="1" customWidth="1"/>
    <col min="5882" max="5882" width="57.85546875" style="1" customWidth="1"/>
    <col min="5883" max="5883" width="5.5703125" style="1" customWidth="1"/>
    <col min="5884" max="5884" width="12" style="1" customWidth="1"/>
    <col min="5885" max="5885" width="14.28515625" style="1" customWidth="1"/>
    <col min="5886" max="5886" width="12" style="1" customWidth="1"/>
    <col min="5887" max="5887" width="0.28515625" style="1" customWidth="1"/>
    <col min="5888" max="5888" width="18.28515625" style="1" customWidth="1"/>
    <col min="5889" max="6134" width="9.28515625" style="1"/>
    <col min="6135" max="6135" width="2.85546875" style="1" customWidth="1"/>
    <col min="6136" max="6136" width="5.28515625" style="1" customWidth="1"/>
    <col min="6137" max="6137" width="17.28515625" style="1" customWidth="1"/>
    <col min="6138" max="6138" width="57.85546875" style="1" customWidth="1"/>
    <col min="6139" max="6139" width="5.5703125" style="1" customWidth="1"/>
    <col min="6140" max="6140" width="12" style="1" customWidth="1"/>
    <col min="6141" max="6141" width="14.28515625" style="1" customWidth="1"/>
    <col min="6142" max="6142" width="12" style="1" customWidth="1"/>
    <col min="6143" max="6143" width="0.28515625" style="1" customWidth="1"/>
    <col min="6144" max="6144" width="18.28515625" style="1" customWidth="1"/>
    <col min="6145" max="6390" width="9.28515625" style="1"/>
    <col min="6391" max="6391" width="2.85546875" style="1" customWidth="1"/>
    <col min="6392" max="6392" width="5.28515625" style="1" customWidth="1"/>
    <col min="6393" max="6393" width="17.28515625" style="1" customWidth="1"/>
    <col min="6394" max="6394" width="57.85546875" style="1" customWidth="1"/>
    <col min="6395" max="6395" width="5.5703125" style="1" customWidth="1"/>
    <col min="6396" max="6396" width="12" style="1" customWidth="1"/>
    <col min="6397" max="6397" width="14.28515625" style="1" customWidth="1"/>
    <col min="6398" max="6398" width="12" style="1" customWidth="1"/>
    <col min="6399" max="6399" width="0.28515625" style="1" customWidth="1"/>
    <col min="6400" max="6400" width="18.28515625" style="1" customWidth="1"/>
    <col min="6401" max="6646" width="9.28515625" style="1"/>
    <col min="6647" max="6647" width="2.85546875" style="1" customWidth="1"/>
    <col min="6648" max="6648" width="5.28515625" style="1" customWidth="1"/>
    <col min="6649" max="6649" width="17.28515625" style="1" customWidth="1"/>
    <col min="6650" max="6650" width="57.85546875" style="1" customWidth="1"/>
    <col min="6651" max="6651" width="5.5703125" style="1" customWidth="1"/>
    <col min="6652" max="6652" width="12" style="1" customWidth="1"/>
    <col min="6653" max="6653" width="14.28515625" style="1" customWidth="1"/>
    <col min="6654" max="6654" width="12" style="1" customWidth="1"/>
    <col min="6655" max="6655" width="0.28515625" style="1" customWidth="1"/>
    <col min="6656" max="6656" width="18.28515625" style="1" customWidth="1"/>
    <col min="6657" max="6902" width="9.28515625" style="1"/>
    <col min="6903" max="6903" width="2.85546875" style="1" customWidth="1"/>
    <col min="6904" max="6904" width="5.28515625" style="1" customWidth="1"/>
    <col min="6905" max="6905" width="17.28515625" style="1" customWidth="1"/>
    <col min="6906" max="6906" width="57.85546875" style="1" customWidth="1"/>
    <col min="6907" max="6907" width="5.5703125" style="1" customWidth="1"/>
    <col min="6908" max="6908" width="12" style="1" customWidth="1"/>
    <col min="6909" max="6909" width="14.28515625" style="1" customWidth="1"/>
    <col min="6910" max="6910" width="12" style="1" customWidth="1"/>
    <col min="6911" max="6911" width="0.28515625" style="1" customWidth="1"/>
    <col min="6912" max="6912" width="18.28515625" style="1" customWidth="1"/>
    <col min="6913" max="7158" width="9.28515625" style="1"/>
    <col min="7159" max="7159" width="2.85546875" style="1" customWidth="1"/>
    <col min="7160" max="7160" width="5.28515625" style="1" customWidth="1"/>
    <col min="7161" max="7161" width="17.28515625" style="1" customWidth="1"/>
    <col min="7162" max="7162" width="57.85546875" style="1" customWidth="1"/>
    <col min="7163" max="7163" width="5.5703125" style="1" customWidth="1"/>
    <col min="7164" max="7164" width="12" style="1" customWidth="1"/>
    <col min="7165" max="7165" width="14.28515625" style="1" customWidth="1"/>
    <col min="7166" max="7166" width="12" style="1" customWidth="1"/>
    <col min="7167" max="7167" width="0.28515625" style="1" customWidth="1"/>
    <col min="7168" max="7168" width="18.28515625" style="1" customWidth="1"/>
    <col min="7169" max="7414" width="9.28515625" style="1"/>
    <col min="7415" max="7415" width="2.85546875" style="1" customWidth="1"/>
    <col min="7416" max="7416" width="5.28515625" style="1" customWidth="1"/>
    <col min="7417" max="7417" width="17.28515625" style="1" customWidth="1"/>
    <col min="7418" max="7418" width="57.85546875" style="1" customWidth="1"/>
    <col min="7419" max="7419" width="5.5703125" style="1" customWidth="1"/>
    <col min="7420" max="7420" width="12" style="1" customWidth="1"/>
    <col min="7421" max="7421" width="14.28515625" style="1" customWidth="1"/>
    <col min="7422" max="7422" width="12" style="1" customWidth="1"/>
    <col min="7423" max="7423" width="0.28515625" style="1" customWidth="1"/>
    <col min="7424" max="7424" width="18.28515625" style="1" customWidth="1"/>
    <col min="7425" max="7670" width="9.28515625" style="1"/>
    <col min="7671" max="7671" width="2.85546875" style="1" customWidth="1"/>
    <col min="7672" max="7672" width="5.28515625" style="1" customWidth="1"/>
    <col min="7673" max="7673" width="17.28515625" style="1" customWidth="1"/>
    <col min="7674" max="7674" width="57.85546875" style="1" customWidth="1"/>
    <col min="7675" max="7675" width="5.5703125" style="1" customWidth="1"/>
    <col min="7676" max="7676" width="12" style="1" customWidth="1"/>
    <col min="7677" max="7677" width="14.28515625" style="1" customWidth="1"/>
    <col min="7678" max="7678" width="12" style="1" customWidth="1"/>
    <col min="7679" max="7679" width="0.28515625" style="1" customWidth="1"/>
    <col min="7680" max="7680" width="18.28515625" style="1" customWidth="1"/>
    <col min="7681" max="7926" width="9.28515625" style="1"/>
    <col min="7927" max="7927" width="2.85546875" style="1" customWidth="1"/>
    <col min="7928" max="7928" width="5.28515625" style="1" customWidth="1"/>
    <col min="7929" max="7929" width="17.28515625" style="1" customWidth="1"/>
    <col min="7930" max="7930" width="57.85546875" style="1" customWidth="1"/>
    <col min="7931" max="7931" width="5.5703125" style="1" customWidth="1"/>
    <col min="7932" max="7932" width="12" style="1" customWidth="1"/>
    <col min="7933" max="7933" width="14.28515625" style="1" customWidth="1"/>
    <col min="7934" max="7934" width="12" style="1" customWidth="1"/>
    <col min="7935" max="7935" width="0.28515625" style="1" customWidth="1"/>
    <col min="7936" max="7936" width="18.28515625" style="1" customWidth="1"/>
    <col min="7937" max="8182" width="9.28515625" style="1"/>
    <col min="8183" max="8183" width="2.85546875" style="1" customWidth="1"/>
    <col min="8184" max="8184" width="5.28515625" style="1" customWidth="1"/>
    <col min="8185" max="8185" width="17.28515625" style="1" customWidth="1"/>
    <col min="8186" max="8186" width="57.85546875" style="1" customWidth="1"/>
    <col min="8187" max="8187" width="5.5703125" style="1" customWidth="1"/>
    <col min="8188" max="8188" width="12" style="1" customWidth="1"/>
    <col min="8189" max="8189" width="14.28515625" style="1" customWidth="1"/>
    <col min="8190" max="8190" width="12" style="1" customWidth="1"/>
    <col min="8191" max="8191" width="0.28515625" style="1" customWidth="1"/>
    <col min="8192" max="8192" width="18.28515625" style="1" customWidth="1"/>
    <col min="8193" max="8438" width="9.28515625" style="1"/>
    <col min="8439" max="8439" width="2.85546875" style="1" customWidth="1"/>
    <col min="8440" max="8440" width="5.28515625" style="1" customWidth="1"/>
    <col min="8441" max="8441" width="17.28515625" style="1" customWidth="1"/>
    <col min="8442" max="8442" width="57.85546875" style="1" customWidth="1"/>
    <col min="8443" max="8443" width="5.5703125" style="1" customWidth="1"/>
    <col min="8444" max="8444" width="12" style="1" customWidth="1"/>
    <col min="8445" max="8445" width="14.28515625" style="1" customWidth="1"/>
    <col min="8446" max="8446" width="12" style="1" customWidth="1"/>
    <col min="8447" max="8447" width="0.28515625" style="1" customWidth="1"/>
    <col min="8448" max="8448" width="18.28515625" style="1" customWidth="1"/>
    <col min="8449" max="8694" width="9.28515625" style="1"/>
    <col min="8695" max="8695" width="2.85546875" style="1" customWidth="1"/>
    <col min="8696" max="8696" width="5.28515625" style="1" customWidth="1"/>
    <col min="8697" max="8697" width="17.28515625" style="1" customWidth="1"/>
    <col min="8698" max="8698" width="57.85546875" style="1" customWidth="1"/>
    <col min="8699" max="8699" width="5.5703125" style="1" customWidth="1"/>
    <col min="8700" max="8700" width="12" style="1" customWidth="1"/>
    <col min="8701" max="8701" width="14.28515625" style="1" customWidth="1"/>
    <col min="8702" max="8702" width="12" style="1" customWidth="1"/>
    <col min="8703" max="8703" width="0.28515625" style="1" customWidth="1"/>
    <col min="8704" max="8704" width="18.28515625" style="1" customWidth="1"/>
    <col min="8705" max="8950" width="9.28515625" style="1"/>
    <col min="8951" max="8951" width="2.85546875" style="1" customWidth="1"/>
    <col min="8952" max="8952" width="5.28515625" style="1" customWidth="1"/>
    <col min="8953" max="8953" width="17.28515625" style="1" customWidth="1"/>
    <col min="8954" max="8954" width="57.85546875" style="1" customWidth="1"/>
    <col min="8955" max="8955" width="5.5703125" style="1" customWidth="1"/>
    <col min="8956" max="8956" width="12" style="1" customWidth="1"/>
    <col min="8957" max="8957" width="14.28515625" style="1" customWidth="1"/>
    <col min="8958" max="8958" width="12" style="1" customWidth="1"/>
    <col min="8959" max="8959" width="0.28515625" style="1" customWidth="1"/>
    <col min="8960" max="8960" width="18.28515625" style="1" customWidth="1"/>
    <col min="8961" max="9206" width="9.28515625" style="1"/>
    <col min="9207" max="9207" width="2.85546875" style="1" customWidth="1"/>
    <col min="9208" max="9208" width="5.28515625" style="1" customWidth="1"/>
    <col min="9209" max="9209" width="17.28515625" style="1" customWidth="1"/>
    <col min="9210" max="9210" width="57.85546875" style="1" customWidth="1"/>
    <col min="9211" max="9211" width="5.5703125" style="1" customWidth="1"/>
    <col min="9212" max="9212" width="12" style="1" customWidth="1"/>
    <col min="9213" max="9213" width="14.28515625" style="1" customWidth="1"/>
    <col min="9214" max="9214" width="12" style="1" customWidth="1"/>
    <col min="9215" max="9215" width="0.28515625" style="1" customWidth="1"/>
    <col min="9216" max="9216" width="18.28515625" style="1" customWidth="1"/>
    <col min="9217" max="9462" width="9.28515625" style="1"/>
    <col min="9463" max="9463" width="2.85546875" style="1" customWidth="1"/>
    <col min="9464" max="9464" width="5.28515625" style="1" customWidth="1"/>
    <col min="9465" max="9465" width="17.28515625" style="1" customWidth="1"/>
    <col min="9466" max="9466" width="57.85546875" style="1" customWidth="1"/>
    <col min="9467" max="9467" width="5.5703125" style="1" customWidth="1"/>
    <col min="9468" max="9468" width="12" style="1" customWidth="1"/>
    <col min="9469" max="9469" width="14.28515625" style="1" customWidth="1"/>
    <col min="9470" max="9470" width="12" style="1" customWidth="1"/>
    <col min="9471" max="9471" width="0.28515625" style="1" customWidth="1"/>
    <col min="9472" max="9472" width="18.28515625" style="1" customWidth="1"/>
    <col min="9473" max="9718" width="9.28515625" style="1"/>
    <col min="9719" max="9719" width="2.85546875" style="1" customWidth="1"/>
    <col min="9720" max="9720" width="5.28515625" style="1" customWidth="1"/>
    <col min="9721" max="9721" width="17.28515625" style="1" customWidth="1"/>
    <col min="9722" max="9722" width="57.85546875" style="1" customWidth="1"/>
    <col min="9723" max="9723" width="5.5703125" style="1" customWidth="1"/>
    <col min="9724" max="9724" width="12" style="1" customWidth="1"/>
    <col min="9725" max="9725" width="14.28515625" style="1" customWidth="1"/>
    <col min="9726" max="9726" width="12" style="1" customWidth="1"/>
    <col min="9727" max="9727" width="0.28515625" style="1" customWidth="1"/>
    <col min="9728" max="9728" width="18.28515625" style="1" customWidth="1"/>
    <col min="9729" max="9974" width="9.28515625" style="1"/>
    <col min="9975" max="9975" width="2.85546875" style="1" customWidth="1"/>
    <col min="9976" max="9976" width="5.28515625" style="1" customWidth="1"/>
    <col min="9977" max="9977" width="17.28515625" style="1" customWidth="1"/>
    <col min="9978" max="9978" width="57.85546875" style="1" customWidth="1"/>
    <col min="9979" max="9979" width="5.5703125" style="1" customWidth="1"/>
    <col min="9980" max="9980" width="12" style="1" customWidth="1"/>
    <col min="9981" max="9981" width="14.28515625" style="1" customWidth="1"/>
    <col min="9982" max="9982" width="12" style="1" customWidth="1"/>
    <col min="9983" max="9983" width="0.28515625" style="1" customWidth="1"/>
    <col min="9984" max="9984" width="18.28515625" style="1" customWidth="1"/>
    <col min="9985" max="10230" width="9.28515625" style="1"/>
    <col min="10231" max="10231" width="2.85546875" style="1" customWidth="1"/>
    <col min="10232" max="10232" width="5.28515625" style="1" customWidth="1"/>
    <col min="10233" max="10233" width="17.28515625" style="1" customWidth="1"/>
    <col min="10234" max="10234" width="57.85546875" style="1" customWidth="1"/>
    <col min="10235" max="10235" width="5.5703125" style="1" customWidth="1"/>
    <col min="10236" max="10236" width="12" style="1" customWidth="1"/>
    <col min="10237" max="10237" width="14.28515625" style="1" customWidth="1"/>
    <col min="10238" max="10238" width="12" style="1" customWidth="1"/>
    <col min="10239" max="10239" width="0.28515625" style="1" customWidth="1"/>
    <col min="10240" max="10240" width="18.28515625" style="1" customWidth="1"/>
    <col min="10241" max="10486" width="9.28515625" style="1"/>
    <col min="10487" max="10487" width="2.85546875" style="1" customWidth="1"/>
    <col min="10488" max="10488" width="5.28515625" style="1" customWidth="1"/>
    <col min="10489" max="10489" width="17.28515625" style="1" customWidth="1"/>
    <col min="10490" max="10490" width="57.85546875" style="1" customWidth="1"/>
    <col min="10491" max="10491" width="5.5703125" style="1" customWidth="1"/>
    <col min="10492" max="10492" width="12" style="1" customWidth="1"/>
    <col min="10493" max="10493" width="14.28515625" style="1" customWidth="1"/>
    <col min="10494" max="10494" width="12" style="1" customWidth="1"/>
    <col min="10495" max="10495" width="0.28515625" style="1" customWidth="1"/>
    <col min="10496" max="10496" width="18.28515625" style="1" customWidth="1"/>
    <col min="10497" max="10742" width="9.28515625" style="1"/>
    <col min="10743" max="10743" width="2.85546875" style="1" customWidth="1"/>
    <col min="10744" max="10744" width="5.28515625" style="1" customWidth="1"/>
    <col min="10745" max="10745" width="17.28515625" style="1" customWidth="1"/>
    <col min="10746" max="10746" width="57.85546875" style="1" customWidth="1"/>
    <col min="10747" max="10747" width="5.5703125" style="1" customWidth="1"/>
    <col min="10748" max="10748" width="12" style="1" customWidth="1"/>
    <col min="10749" max="10749" width="14.28515625" style="1" customWidth="1"/>
    <col min="10750" max="10750" width="12" style="1" customWidth="1"/>
    <col min="10751" max="10751" width="0.28515625" style="1" customWidth="1"/>
    <col min="10752" max="10752" width="18.28515625" style="1" customWidth="1"/>
    <col min="10753" max="10998" width="9.28515625" style="1"/>
    <col min="10999" max="10999" width="2.85546875" style="1" customWidth="1"/>
    <col min="11000" max="11000" width="5.28515625" style="1" customWidth="1"/>
    <col min="11001" max="11001" width="17.28515625" style="1" customWidth="1"/>
    <col min="11002" max="11002" width="57.85546875" style="1" customWidth="1"/>
    <col min="11003" max="11003" width="5.5703125" style="1" customWidth="1"/>
    <col min="11004" max="11004" width="12" style="1" customWidth="1"/>
    <col min="11005" max="11005" width="14.28515625" style="1" customWidth="1"/>
    <col min="11006" max="11006" width="12" style="1" customWidth="1"/>
    <col min="11007" max="11007" width="0.28515625" style="1" customWidth="1"/>
    <col min="11008" max="11008" width="18.28515625" style="1" customWidth="1"/>
    <col min="11009" max="11254" width="9.28515625" style="1"/>
    <col min="11255" max="11255" width="2.85546875" style="1" customWidth="1"/>
    <col min="11256" max="11256" width="5.28515625" style="1" customWidth="1"/>
    <col min="11257" max="11257" width="17.28515625" style="1" customWidth="1"/>
    <col min="11258" max="11258" width="57.85546875" style="1" customWidth="1"/>
    <col min="11259" max="11259" width="5.5703125" style="1" customWidth="1"/>
    <col min="11260" max="11260" width="12" style="1" customWidth="1"/>
    <col min="11261" max="11261" width="14.28515625" style="1" customWidth="1"/>
    <col min="11262" max="11262" width="12" style="1" customWidth="1"/>
    <col min="11263" max="11263" width="0.28515625" style="1" customWidth="1"/>
    <col min="11264" max="11264" width="18.28515625" style="1" customWidth="1"/>
    <col min="11265" max="11510" width="9.28515625" style="1"/>
    <col min="11511" max="11511" width="2.85546875" style="1" customWidth="1"/>
    <col min="11512" max="11512" width="5.28515625" style="1" customWidth="1"/>
    <col min="11513" max="11513" width="17.28515625" style="1" customWidth="1"/>
    <col min="11514" max="11514" width="57.85546875" style="1" customWidth="1"/>
    <col min="11515" max="11515" width="5.5703125" style="1" customWidth="1"/>
    <col min="11516" max="11516" width="12" style="1" customWidth="1"/>
    <col min="11517" max="11517" width="14.28515625" style="1" customWidth="1"/>
    <col min="11518" max="11518" width="12" style="1" customWidth="1"/>
    <col min="11519" max="11519" width="0.28515625" style="1" customWidth="1"/>
    <col min="11520" max="11520" width="18.28515625" style="1" customWidth="1"/>
    <col min="11521" max="11766" width="9.28515625" style="1"/>
    <col min="11767" max="11767" width="2.85546875" style="1" customWidth="1"/>
    <col min="11768" max="11768" width="5.28515625" style="1" customWidth="1"/>
    <col min="11769" max="11769" width="17.28515625" style="1" customWidth="1"/>
    <col min="11770" max="11770" width="57.85546875" style="1" customWidth="1"/>
    <col min="11771" max="11771" width="5.5703125" style="1" customWidth="1"/>
    <col min="11772" max="11772" width="12" style="1" customWidth="1"/>
    <col min="11773" max="11773" width="14.28515625" style="1" customWidth="1"/>
    <col min="11774" max="11774" width="12" style="1" customWidth="1"/>
    <col min="11775" max="11775" width="0.28515625" style="1" customWidth="1"/>
    <col min="11776" max="11776" width="18.28515625" style="1" customWidth="1"/>
    <col min="11777" max="12022" width="9.28515625" style="1"/>
    <col min="12023" max="12023" width="2.85546875" style="1" customWidth="1"/>
    <col min="12024" max="12024" width="5.28515625" style="1" customWidth="1"/>
    <col min="12025" max="12025" width="17.28515625" style="1" customWidth="1"/>
    <col min="12026" max="12026" width="57.85546875" style="1" customWidth="1"/>
    <col min="12027" max="12027" width="5.5703125" style="1" customWidth="1"/>
    <col min="12028" max="12028" width="12" style="1" customWidth="1"/>
    <col min="12029" max="12029" width="14.28515625" style="1" customWidth="1"/>
    <col min="12030" max="12030" width="12" style="1" customWidth="1"/>
    <col min="12031" max="12031" width="0.28515625" style="1" customWidth="1"/>
    <col min="12032" max="12032" width="18.28515625" style="1" customWidth="1"/>
    <col min="12033" max="12278" width="9.28515625" style="1"/>
    <col min="12279" max="12279" width="2.85546875" style="1" customWidth="1"/>
    <col min="12280" max="12280" width="5.28515625" style="1" customWidth="1"/>
    <col min="12281" max="12281" width="17.28515625" style="1" customWidth="1"/>
    <col min="12282" max="12282" width="57.85546875" style="1" customWidth="1"/>
    <col min="12283" max="12283" width="5.5703125" style="1" customWidth="1"/>
    <col min="12284" max="12284" width="12" style="1" customWidth="1"/>
    <col min="12285" max="12285" width="14.28515625" style="1" customWidth="1"/>
    <col min="12286" max="12286" width="12" style="1" customWidth="1"/>
    <col min="12287" max="12287" width="0.28515625" style="1" customWidth="1"/>
    <col min="12288" max="12288" width="18.28515625" style="1" customWidth="1"/>
    <col min="12289" max="12534" width="9.28515625" style="1"/>
    <col min="12535" max="12535" width="2.85546875" style="1" customWidth="1"/>
    <col min="12536" max="12536" width="5.28515625" style="1" customWidth="1"/>
    <col min="12537" max="12537" width="17.28515625" style="1" customWidth="1"/>
    <col min="12538" max="12538" width="57.85546875" style="1" customWidth="1"/>
    <col min="12539" max="12539" width="5.5703125" style="1" customWidth="1"/>
    <col min="12540" max="12540" width="12" style="1" customWidth="1"/>
    <col min="12541" max="12541" width="14.28515625" style="1" customWidth="1"/>
    <col min="12542" max="12542" width="12" style="1" customWidth="1"/>
    <col min="12543" max="12543" width="0.28515625" style="1" customWidth="1"/>
    <col min="12544" max="12544" width="18.28515625" style="1" customWidth="1"/>
    <col min="12545" max="12790" width="9.28515625" style="1"/>
    <col min="12791" max="12791" width="2.85546875" style="1" customWidth="1"/>
    <col min="12792" max="12792" width="5.28515625" style="1" customWidth="1"/>
    <col min="12793" max="12793" width="17.28515625" style="1" customWidth="1"/>
    <col min="12794" max="12794" width="57.85546875" style="1" customWidth="1"/>
    <col min="12795" max="12795" width="5.5703125" style="1" customWidth="1"/>
    <col min="12796" max="12796" width="12" style="1" customWidth="1"/>
    <col min="12797" max="12797" width="14.28515625" style="1" customWidth="1"/>
    <col min="12798" max="12798" width="12" style="1" customWidth="1"/>
    <col min="12799" max="12799" width="0.28515625" style="1" customWidth="1"/>
    <col min="12800" max="12800" width="18.28515625" style="1" customWidth="1"/>
    <col min="12801" max="13046" width="9.28515625" style="1"/>
    <col min="13047" max="13047" width="2.85546875" style="1" customWidth="1"/>
    <col min="13048" max="13048" width="5.28515625" style="1" customWidth="1"/>
    <col min="13049" max="13049" width="17.28515625" style="1" customWidth="1"/>
    <col min="13050" max="13050" width="57.85546875" style="1" customWidth="1"/>
    <col min="13051" max="13051" width="5.5703125" style="1" customWidth="1"/>
    <col min="13052" max="13052" width="12" style="1" customWidth="1"/>
    <col min="13053" max="13053" width="14.28515625" style="1" customWidth="1"/>
    <col min="13054" max="13054" width="12" style="1" customWidth="1"/>
    <col min="13055" max="13055" width="0.28515625" style="1" customWidth="1"/>
    <col min="13056" max="13056" width="18.28515625" style="1" customWidth="1"/>
    <col min="13057" max="13302" width="9.28515625" style="1"/>
    <col min="13303" max="13303" width="2.85546875" style="1" customWidth="1"/>
    <col min="13304" max="13304" width="5.28515625" style="1" customWidth="1"/>
    <col min="13305" max="13305" width="17.28515625" style="1" customWidth="1"/>
    <col min="13306" max="13306" width="57.85546875" style="1" customWidth="1"/>
    <col min="13307" max="13307" width="5.5703125" style="1" customWidth="1"/>
    <col min="13308" max="13308" width="12" style="1" customWidth="1"/>
    <col min="13309" max="13309" width="14.28515625" style="1" customWidth="1"/>
    <col min="13310" max="13310" width="12" style="1" customWidth="1"/>
    <col min="13311" max="13311" width="0.28515625" style="1" customWidth="1"/>
    <col min="13312" max="13312" width="18.28515625" style="1" customWidth="1"/>
    <col min="13313" max="13558" width="9.28515625" style="1"/>
    <col min="13559" max="13559" width="2.85546875" style="1" customWidth="1"/>
    <col min="13560" max="13560" width="5.28515625" style="1" customWidth="1"/>
    <col min="13561" max="13561" width="17.28515625" style="1" customWidth="1"/>
    <col min="13562" max="13562" width="57.85546875" style="1" customWidth="1"/>
    <col min="13563" max="13563" width="5.5703125" style="1" customWidth="1"/>
    <col min="13564" max="13564" width="12" style="1" customWidth="1"/>
    <col min="13565" max="13565" width="14.28515625" style="1" customWidth="1"/>
    <col min="13566" max="13566" width="12" style="1" customWidth="1"/>
    <col min="13567" max="13567" width="0.28515625" style="1" customWidth="1"/>
    <col min="13568" max="13568" width="18.28515625" style="1" customWidth="1"/>
    <col min="13569" max="13814" width="9.28515625" style="1"/>
    <col min="13815" max="13815" width="2.85546875" style="1" customWidth="1"/>
    <col min="13816" max="13816" width="5.28515625" style="1" customWidth="1"/>
    <col min="13817" max="13817" width="17.28515625" style="1" customWidth="1"/>
    <col min="13818" max="13818" width="57.85546875" style="1" customWidth="1"/>
    <col min="13819" max="13819" width="5.5703125" style="1" customWidth="1"/>
    <col min="13820" max="13820" width="12" style="1" customWidth="1"/>
    <col min="13821" max="13821" width="14.28515625" style="1" customWidth="1"/>
    <col min="13822" max="13822" width="12" style="1" customWidth="1"/>
    <col min="13823" max="13823" width="0.28515625" style="1" customWidth="1"/>
    <col min="13824" max="13824" width="18.28515625" style="1" customWidth="1"/>
    <col min="13825" max="14070" width="9.28515625" style="1"/>
    <col min="14071" max="14071" width="2.85546875" style="1" customWidth="1"/>
    <col min="14072" max="14072" width="5.28515625" style="1" customWidth="1"/>
    <col min="14073" max="14073" width="17.28515625" style="1" customWidth="1"/>
    <col min="14074" max="14074" width="57.85546875" style="1" customWidth="1"/>
    <col min="14075" max="14075" width="5.5703125" style="1" customWidth="1"/>
    <col min="14076" max="14076" width="12" style="1" customWidth="1"/>
    <col min="14077" max="14077" width="14.28515625" style="1" customWidth="1"/>
    <col min="14078" max="14078" width="12" style="1" customWidth="1"/>
    <col min="14079" max="14079" width="0.28515625" style="1" customWidth="1"/>
    <col min="14080" max="14080" width="18.28515625" style="1" customWidth="1"/>
    <col min="14081" max="14326" width="9.28515625" style="1"/>
    <col min="14327" max="14327" width="2.85546875" style="1" customWidth="1"/>
    <col min="14328" max="14328" width="5.28515625" style="1" customWidth="1"/>
    <col min="14329" max="14329" width="17.28515625" style="1" customWidth="1"/>
    <col min="14330" max="14330" width="57.85546875" style="1" customWidth="1"/>
    <col min="14331" max="14331" width="5.5703125" style="1" customWidth="1"/>
    <col min="14332" max="14332" width="12" style="1" customWidth="1"/>
    <col min="14333" max="14333" width="14.28515625" style="1" customWidth="1"/>
    <col min="14334" max="14334" width="12" style="1" customWidth="1"/>
    <col min="14335" max="14335" width="0.28515625" style="1" customWidth="1"/>
    <col min="14336" max="14336" width="18.28515625" style="1" customWidth="1"/>
    <col min="14337" max="14582" width="9.28515625" style="1"/>
    <col min="14583" max="14583" width="2.85546875" style="1" customWidth="1"/>
    <col min="14584" max="14584" width="5.28515625" style="1" customWidth="1"/>
    <col min="14585" max="14585" width="17.28515625" style="1" customWidth="1"/>
    <col min="14586" max="14586" width="57.85546875" style="1" customWidth="1"/>
    <col min="14587" max="14587" width="5.5703125" style="1" customWidth="1"/>
    <col min="14588" max="14588" width="12" style="1" customWidth="1"/>
    <col min="14589" max="14589" width="14.28515625" style="1" customWidth="1"/>
    <col min="14590" max="14590" width="12" style="1" customWidth="1"/>
    <col min="14591" max="14591" width="0.28515625" style="1" customWidth="1"/>
    <col min="14592" max="14592" width="18.28515625" style="1" customWidth="1"/>
    <col min="14593" max="14838" width="9.28515625" style="1"/>
    <col min="14839" max="14839" width="2.85546875" style="1" customWidth="1"/>
    <col min="14840" max="14840" width="5.28515625" style="1" customWidth="1"/>
    <col min="14841" max="14841" width="17.28515625" style="1" customWidth="1"/>
    <col min="14842" max="14842" width="57.85546875" style="1" customWidth="1"/>
    <col min="14843" max="14843" width="5.5703125" style="1" customWidth="1"/>
    <col min="14844" max="14844" width="12" style="1" customWidth="1"/>
    <col min="14845" max="14845" width="14.28515625" style="1" customWidth="1"/>
    <col min="14846" max="14846" width="12" style="1" customWidth="1"/>
    <col min="14847" max="14847" width="0.28515625" style="1" customWidth="1"/>
    <col min="14848" max="14848" width="18.28515625" style="1" customWidth="1"/>
    <col min="14849" max="15094" width="9.28515625" style="1"/>
    <col min="15095" max="15095" width="2.85546875" style="1" customWidth="1"/>
    <col min="15096" max="15096" width="5.28515625" style="1" customWidth="1"/>
    <col min="15097" max="15097" width="17.28515625" style="1" customWidth="1"/>
    <col min="15098" max="15098" width="57.85546875" style="1" customWidth="1"/>
    <col min="15099" max="15099" width="5.5703125" style="1" customWidth="1"/>
    <col min="15100" max="15100" width="12" style="1" customWidth="1"/>
    <col min="15101" max="15101" width="14.28515625" style="1" customWidth="1"/>
    <col min="15102" max="15102" width="12" style="1" customWidth="1"/>
    <col min="15103" max="15103" width="0.28515625" style="1" customWidth="1"/>
    <col min="15104" max="15104" width="18.28515625" style="1" customWidth="1"/>
    <col min="15105" max="15350" width="9.28515625" style="1"/>
    <col min="15351" max="15351" width="2.85546875" style="1" customWidth="1"/>
    <col min="15352" max="15352" width="5.28515625" style="1" customWidth="1"/>
    <col min="15353" max="15353" width="17.28515625" style="1" customWidth="1"/>
    <col min="15354" max="15354" width="57.85546875" style="1" customWidth="1"/>
    <col min="15355" max="15355" width="5.5703125" style="1" customWidth="1"/>
    <col min="15356" max="15356" width="12" style="1" customWidth="1"/>
    <col min="15357" max="15357" width="14.28515625" style="1" customWidth="1"/>
    <col min="15358" max="15358" width="12" style="1" customWidth="1"/>
    <col min="15359" max="15359" width="0.28515625" style="1" customWidth="1"/>
    <col min="15360" max="15360" width="18.28515625" style="1" customWidth="1"/>
    <col min="15361" max="15606" width="9.28515625" style="1"/>
    <col min="15607" max="15607" width="2.85546875" style="1" customWidth="1"/>
    <col min="15608" max="15608" width="5.28515625" style="1" customWidth="1"/>
    <col min="15609" max="15609" width="17.28515625" style="1" customWidth="1"/>
    <col min="15610" max="15610" width="57.85546875" style="1" customWidth="1"/>
    <col min="15611" max="15611" width="5.5703125" style="1" customWidth="1"/>
    <col min="15612" max="15612" width="12" style="1" customWidth="1"/>
    <col min="15613" max="15613" width="14.28515625" style="1" customWidth="1"/>
    <col min="15614" max="15614" width="12" style="1" customWidth="1"/>
    <col min="15615" max="15615" width="0.28515625" style="1" customWidth="1"/>
    <col min="15616" max="15616" width="18.28515625" style="1" customWidth="1"/>
    <col min="15617" max="15862" width="9.28515625" style="1"/>
    <col min="15863" max="15863" width="2.85546875" style="1" customWidth="1"/>
    <col min="15864" max="15864" width="5.28515625" style="1" customWidth="1"/>
    <col min="15865" max="15865" width="17.28515625" style="1" customWidth="1"/>
    <col min="15866" max="15866" width="57.85546875" style="1" customWidth="1"/>
    <col min="15867" max="15867" width="5.5703125" style="1" customWidth="1"/>
    <col min="15868" max="15868" width="12" style="1" customWidth="1"/>
    <col min="15869" max="15869" width="14.28515625" style="1" customWidth="1"/>
    <col min="15870" max="15870" width="12" style="1" customWidth="1"/>
    <col min="15871" max="15871" width="0.28515625" style="1" customWidth="1"/>
    <col min="15872" max="15872" width="18.28515625" style="1" customWidth="1"/>
    <col min="15873" max="16118" width="9.28515625" style="1"/>
    <col min="16119" max="16119" width="2.85546875" style="1" customWidth="1"/>
    <col min="16120" max="16120" width="5.28515625" style="1" customWidth="1"/>
    <col min="16121" max="16121" width="17.28515625" style="1" customWidth="1"/>
    <col min="16122" max="16122" width="57.85546875" style="1" customWidth="1"/>
    <col min="16123" max="16123" width="5.5703125" style="1" customWidth="1"/>
    <col min="16124" max="16124" width="12" style="1" customWidth="1"/>
    <col min="16125" max="16125" width="14.28515625" style="1" customWidth="1"/>
    <col min="16126" max="16126" width="12" style="1" customWidth="1"/>
    <col min="16127" max="16127" width="0.28515625" style="1" customWidth="1"/>
    <col min="16128" max="16128" width="18.28515625" style="1" customWidth="1"/>
    <col min="16129" max="16384" width="9.28515625" style="1"/>
  </cols>
  <sheetData>
    <row r="1" spans="2:15" ht="109.5" customHeight="1" x14ac:dyDescent="0.2">
      <c r="B1" s="86"/>
      <c r="C1" s="87"/>
      <c r="D1" s="87"/>
      <c r="E1" s="87"/>
      <c r="F1" s="87"/>
      <c r="G1" s="87"/>
      <c r="H1" s="87"/>
      <c r="I1" s="1"/>
    </row>
    <row r="2" spans="2:15" ht="3" customHeight="1" x14ac:dyDescent="0.25">
      <c r="B2" s="88"/>
      <c r="C2" s="88"/>
      <c r="D2" s="88"/>
      <c r="E2" s="88"/>
      <c r="F2" s="88"/>
      <c r="G2" s="88"/>
      <c r="H2" s="88"/>
      <c r="I2" s="1"/>
    </row>
    <row r="3" spans="2:15" s="4" customFormat="1" ht="27.4" customHeight="1" x14ac:dyDescent="0.25">
      <c r="B3" s="2" t="s">
        <v>0</v>
      </c>
      <c r="C3" s="2"/>
      <c r="D3" s="3"/>
      <c r="H3" s="89" t="s">
        <v>1</v>
      </c>
      <c r="I3" s="89"/>
      <c r="K3" s="5"/>
      <c r="L3" s="5"/>
    </row>
    <row r="4" spans="2:15" s="11" customFormat="1" ht="20.65" customHeight="1" x14ac:dyDescent="0.25">
      <c r="B4" s="6" t="s">
        <v>2</v>
      </c>
      <c r="C4" s="7"/>
      <c r="D4" s="8"/>
      <c r="E4" s="9"/>
      <c r="F4" s="8"/>
      <c r="G4" s="8"/>
      <c r="H4" s="10"/>
    </row>
    <row r="5" spans="2:15" s="11" customFormat="1" ht="20.65" customHeight="1" x14ac:dyDescent="0.25">
      <c r="B5" s="12" t="s">
        <v>3</v>
      </c>
      <c r="C5" s="7"/>
      <c r="D5" s="8"/>
      <c r="E5" s="9"/>
      <c r="F5" s="8"/>
      <c r="G5" s="8"/>
      <c r="H5" s="10"/>
    </row>
    <row r="6" spans="2:15" s="13" customFormat="1" ht="20.25" customHeight="1" x14ac:dyDescent="0.25">
      <c r="B6" s="90" t="s">
        <v>4</v>
      </c>
      <c r="C6" s="90"/>
      <c r="D6" s="90"/>
      <c r="E6" s="90"/>
      <c r="F6" s="90"/>
      <c r="G6" s="90"/>
      <c r="H6" s="90"/>
    </row>
    <row r="7" spans="2:15" s="13" customFormat="1" ht="1.5" customHeight="1" x14ac:dyDescent="0.25">
      <c r="B7" s="14"/>
      <c r="C7" s="14"/>
      <c r="D7" s="14"/>
      <c r="E7" s="15"/>
      <c r="F7" s="16"/>
      <c r="G7" s="15"/>
      <c r="H7" s="15"/>
      <c r="I7" s="15"/>
    </row>
    <row r="8" spans="2:15" ht="21" customHeight="1" x14ac:dyDescent="0.25">
      <c r="B8" s="17" t="s">
        <v>5</v>
      </c>
      <c r="C8" s="17"/>
      <c r="D8" s="17"/>
      <c r="E8" s="18"/>
      <c r="F8" s="19"/>
      <c r="G8" s="18"/>
      <c r="H8" s="18"/>
      <c r="I8" s="18"/>
    </row>
    <row r="9" spans="2:15" ht="6" customHeight="1" x14ac:dyDescent="0.25">
      <c r="B9" s="17"/>
      <c r="C9" s="17"/>
      <c r="D9" s="17"/>
      <c r="E9" s="20"/>
      <c r="F9" s="19"/>
      <c r="G9" s="20"/>
      <c r="H9" s="20"/>
      <c r="I9" s="20"/>
    </row>
    <row r="10" spans="2:15" s="24" customFormat="1" ht="39.75" customHeight="1" x14ac:dyDescent="0.25">
      <c r="B10" s="21" t="s">
        <v>6</v>
      </c>
      <c r="C10" s="22" t="s">
        <v>7</v>
      </c>
      <c r="D10" s="22" t="s">
        <v>8</v>
      </c>
      <c r="E10" s="21" t="s">
        <v>9</v>
      </c>
      <c r="F10" s="21" t="s">
        <v>10</v>
      </c>
      <c r="G10" s="21" t="s">
        <v>11</v>
      </c>
      <c r="H10" s="23" t="s">
        <v>12</v>
      </c>
      <c r="I10" s="21" t="s">
        <v>13</v>
      </c>
    </row>
    <row r="11" spans="2:15" s="24" customFormat="1" ht="24" customHeight="1" x14ac:dyDescent="0.25">
      <c r="B11" s="25">
        <v>1</v>
      </c>
      <c r="C11" s="26" t="s">
        <v>14</v>
      </c>
      <c r="D11" s="25"/>
      <c r="E11" s="25"/>
      <c r="F11" s="27"/>
      <c r="G11" s="27"/>
      <c r="H11" s="27"/>
      <c r="I11" s="27"/>
      <c r="L11" s="24" t="s">
        <v>15</v>
      </c>
      <c r="M11" s="24" t="s">
        <v>16</v>
      </c>
      <c r="N11" s="24" t="s">
        <v>17</v>
      </c>
      <c r="O11" s="24" t="s">
        <v>18</v>
      </c>
    </row>
    <row r="12" spans="2:15" s="24" customFormat="1" ht="116.45" customHeight="1" x14ac:dyDescent="0.25">
      <c r="B12" s="28">
        <v>1.1000000000000001</v>
      </c>
      <c r="C12" s="29" t="s">
        <v>19</v>
      </c>
      <c r="D12" s="30" t="s">
        <v>20</v>
      </c>
      <c r="E12" s="31">
        <v>2</v>
      </c>
      <c r="F12" s="32">
        <f>ROUND(O12,-4)</f>
        <v>140510000</v>
      </c>
      <c r="G12" s="33">
        <f>E12*F12</f>
        <v>281020000</v>
      </c>
      <c r="H12" s="34">
        <f>G12*0.1</f>
        <v>28102000</v>
      </c>
      <c r="I12" s="34">
        <f>H12+G12</f>
        <v>309122000</v>
      </c>
      <c r="J12" s="32">
        <v>5150</v>
      </c>
      <c r="K12" s="24">
        <v>390</v>
      </c>
      <c r="L12" s="35">
        <v>0.05</v>
      </c>
      <c r="M12" s="36">
        <f>J12*(1-L12)+K12</f>
        <v>5282.5</v>
      </c>
      <c r="N12" s="24">
        <v>26600</v>
      </c>
      <c r="O12" s="36">
        <f>M12*N12</f>
        <v>140514500</v>
      </c>
    </row>
    <row r="13" spans="2:15" s="24" customFormat="1" ht="201.4" customHeight="1" x14ac:dyDescent="0.25">
      <c r="B13" s="28">
        <v>1.2</v>
      </c>
      <c r="C13" s="29" t="s">
        <v>21</v>
      </c>
      <c r="D13" s="30" t="s">
        <v>22</v>
      </c>
      <c r="E13" s="31">
        <v>1</v>
      </c>
      <c r="F13" s="32">
        <f>ROUND(O13,-4)</f>
        <v>271130000</v>
      </c>
      <c r="G13" s="33">
        <f>E13*F13</f>
        <v>271130000</v>
      </c>
      <c r="H13" s="34"/>
      <c r="I13" s="34">
        <f>H13+G13</f>
        <v>271130000</v>
      </c>
      <c r="J13" s="32">
        <f>3576.48*3</f>
        <v>10729.44</v>
      </c>
      <c r="L13" s="35">
        <v>0.05</v>
      </c>
      <c r="M13" s="36">
        <f>J13*(1-L13)+K13</f>
        <v>10192.968000000001</v>
      </c>
      <c r="N13" s="24">
        <v>26600</v>
      </c>
      <c r="O13" s="36">
        <f>M13*N13</f>
        <v>271132948.80000001</v>
      </c>
    </row>
    <row r="14" spans="2:15" s="24" customFormat="1" ht="24" customHeight="1" x14ac:dyDescent="0.25">
      <c r="B14" s="25">
        <v>2</v>
      </c>
      <c r="C14" s="26" t="s">
        <v>23</v>
      </c>
      <c r="D14" s="25"/>
      <c r="E14" s="25"/>
      <c r="F14" s="27"/>
      <c r="G14" s="27"/>
      <c r="H14" s="27"/>
      <c r="I14" s="27"/>
    </row>
    <row r="15" spans="2:15" s="24" customFormat="1" ht="70.5" customHeight="1" x14ac:dyDescent="0.25">
      <c r="B15" s="37"/>
      <c r="C15" s="37" t="s">
        <v>24</v>
      </c>
      <c r="D15" s="38" t="s">
        <v>25</v>
      </c>
      <c r="E15" s="39">
        <v>1</v>
      </c>
      <c r="F15" s="32"/>
      <c r="G15" s="40"/>
      <c r="H15" s="41"/>
      <c r="I15" s="41"/>
    </row>
    <row r="16" spans="2:15" s="44" customFormat="1" ht="24" customHeight="1" x14ac:dyDescent="0.25">
      <c r="B16" s="91" t="s">
        <v>26</v>
      </c>
      <c r="C16" s="91"/>
      <c r="D16" s="91"/>
      <c r="E16" s="91"/>
      <c r="F16" s="91"/>
      <c r="G16" s="42">
        <f>SUM(G11:G15)</f>
        <v>552150000</v>
      </c>
      <c r="H16" s="41">
        <f>SUM(H11:H15)</f>
        <v>28102000</v>
      </c>
      <c r="I16" s="43">
        <f>H16+G16</f>
        <v>580252000</v>
      </c>
    </row>
    <row r="17" spans="2:9" s="48" customFormat="1" ht="21.75" customHeight="1" x14ac:dyDescent="0.2">
      <c r="B17" s="45"/>
      <c r="C17" s="46" t="s">
        <v>27</v>
      </c>
      <c r="D17" s="45"/>
      <c r="E17" s="18"/>
      <c r="F17" s="47"/>
      <c r="G17" s="18"/>
      <c r="H17" s="18"/>
      <c r="I17" s="18"/>
    </row>
    <row r="18" spans="2:9" s="48" customFormat="1" ht="6.75" customHeight="1" x14ac:dyDescent="0.2">
      <c r="B18" s="45"/>
      <c r="C18" s="46"/>
      <c r="D18" s="45"/>
      <c r="E18" s="18"/>
      <c r="F18" s="47"/>
      <c r="G18" s="18"/>
      <c r="H18" s="18"/>
      <c r="I18" s="18"/>
    </row>
    <row r="19" spans="2:9" s="48" customFormat="1" ht="15" customHeight="1" x14ac:dyDescent="0.2">
      <c r="B19" s="49">
        <v>1</v>
      </c>
      <c r="C19" s="50" t="s">
        <v>28</v>
      </c>
      <c r="D19" s="17"/>
      <c r="E19" s="18"/>
      <c r="F19" s="47"/>
      <c r="G19" s="18"/>
      <c r="H19" s="18"/>
      <c r="I19" s="18"/>
    </row>
    <row r="20" spans="2:9" s="48" customFormat="1" ht="15" customHeight="1" x14ac:dyDescent="0.2">
      <c r="B20" s="49">
        <v>2</v>
      </c>
      <c r="C20" s="51" t="s">
        <v>29</v>
      </c>
      <c r="D20" s="17"/>
      <c r="E20" s="18"/>
      <c r="F20" s="47"/>
      <c r="G20" s="18"/>
      <c r="H20" s="18"/>
      <c r="I20" s="18"/>
    </row>
    <row r="21" spans="2:9" s="48" customFormat="1" ht="15" customHeight="1" x14ac:dyDescent="0.25">
      <c r="B21" s="49">
        <v>3</v>
      </c>
      <c r="C21" s="50" t="s">
        <v>30</v>
      </c>
      <c r="D21" s="45"/>
      <c r="E21" s="18"/>
      <c r="F21" s="47"/>
      <c r="G21" s="52"/>
      <c r="H21" s="52"/>
      <c r="I21" s="18"/>
    </row>
    <row r="22" spans="2:9" s="48" customFormat="1" ht="15" customHeight="1" x14ac:dyDescent="0.2">
      <c r="B22" s="49">
        <v>4</v>
      </c>
      <c r="C22" s="51" t="s">
        <v>31</v>
      </c>
      <c r="D22" s="45"/>
      <c r="E22" s="18"/>
      <c r="F22" s="47"/>
      <c r="G22" s="18"/>
      <c r="H22" s="18"/>
      <c r="I22" s="18"/>
    </row>
    <row r="23" spans="2:9" s="48" customFormat="1" x14ac:dyDescent="0.25">
      <c r="B23" s="49"/>
      <c r="C23" s="92" t="s">
        <v>32</v>
      </c>
      <c r="D23" s="93"/>
      <c r="E23" s="93"/>
      <c r="F23" s="93"/>
      <c r="G23" s="93"/>
      <c r="H23" s="93"/>
    </row>
    <row r="24" spans="2:9" s="48" customFormat="1" ht="15" customHeight="1" x14ac:dyDescent="0.2">
      <c r="B24" s="49">
        <v>6</v>
      </c>
      <c r="C24" s="50" t="s">
        <v>33</v>
      </c>
      <c r="D24" s="45"/>
      <c r="E24" s="18"/>
      <c r="F24" s="47"/>
      <c r="G24" s="18"/>
      <c r="H24" s="18"/>
      <c r="I24" s="18"/>
    </row>
    <row r="25" spans="2:9" s="48" customFormat="1" ht="15" customHeight="1" x14ac:dyDescent="0.2">
      <c r="B25" s="49"/>
      <c r="C25" s="50" t="s">
        <v>34</v>
      </c>
      <c r="D25" s="45"/>
      <c r="E25" s="18"/>
      <c r="F25" s="47"/>
      <c r="G25" s="18"/>
      <c r="H25" s="18"/>
      <c r="I25" s="18"/>
    </row>
    <row r="26" spans="2:9" s="48" customFormat="1" ht="15" customHeight="1" x14ac:dyDescent="0.2">
      <c r="B26" s="49"/>
      <c r="C26" s="50" t="s">
        <v>35</v>
      </c>
      <c r="D26" s="45"/>
      <c r="E26" s="18"/>
      <c r="F26" s="47"/>
      <c r="G26" s="18"/>
      <c r="H26" s="18"/>
      <c r="I26" s="18"/>
    </row>
    <row r="27" spans="2:9" s="48" customFormat="1" ht="15" hidden="1" customHeight="1" x14ac:dyDescent="0.2">
      <c r="B27" s="49"/>
      <c r="C27" s="50"/>
      <c r="D27" s="45"/>
      <c r="E27" s="18"/>
      <c r="F27" s="47"/>
      <c r="G27" s="18"/>
      <c r="H27" s="18"/>
      <c r="I27" s="18"/>
    </row>
    <row r="28" spans="2:9" s="48" customFormat="1" ht="15" customHeight="1" x14ac:dyDescent="0.2">
      <c r="B28" s="49">
        <v>7</v>
      </c>
      <c r="C28" s="51" t="s">
        <v>36</v>
      </c>
      <c r="D28" s="45"/>
      <c r="E28" s="18"/>
      <c r="F28" s="47"/>
      <c r="G28" s="18"/>
      <c r="H28" s="18"/>
      <c r="I28" s="18"/>
    </row>
    <row r="29" spans="2:9" s="48" customFormat="1" ht="15" hidden="1" customHeight="1" x14ac:dyDescent="0.2">
      <c r="B29" s="53" t="s">
        <v>37</v>
      </c>
      <c r="C29" s="51" t="s">
        <v>38</v>
      </c>
      <c r="D29" s="45"/>
      <c r="E29" s="18"/>
      <c r="F29" s="47"/>
      <c r="G29" s="18"/>
      <c r="H29" s="18"/>
      <c r="I29" s="18"/>
    </row>
    <row r="30" spans="2:9" s="48" customFormat="1" ht="15" hidden="1" customHeight="1" x14ac:dyDescent="0.2">
      <c r="B30" s="49">
        <v>8</v>
      </c>
      <c r="C30" s="51" t="s">
        <v>39</v>
      </c>
      <c r="D30" s="45"/>
      <c r="E30" s="18"/>
      <c r="F30" s="47"/>
      <c r="G30" s="18"/>
      <c r="H30" s="18"/>
      <c r="I30" s="18"/>
    </row>
    <row r="31" spans="2:9" s="48" customFormat="1" ht="15" hidden="1" customHeight="1" x14ac:dyDescent="0.2">
      <c r="B31" s="53">
        <v>9</v>
      </c>
      <c r="C31" s="51" t="s">
        <v>38</v>
      </c>
      <c r="D31" s="45"/>
      <c r="E31" s="18"/>
      <c r="F31" s="47"/>
      <c r="G31" s="18"/>
      <c r="H31" s="18"/>
      <c r="I31" s="18"/>
    </row>
    <row r="32" spans="2:9" s="48" customFormat="1" ht="15" hidden="1" customHeight="1" x14ac:dyDescent="0.2">
      <c r="B32" s="49"/>
      <c r="C32" s="51" t="s">
        <v>40</v>
      </c>
      <c r="D32" s="45"/>
      <c r="E32" s="18"/>
      <c r="F32" s="47"/>
      <c r="G32" s="18"/>
      <c r="H32" s="18"/>
      <c r="I32" s="18"/>
    </row>
    <row r="33" spans="1:9" s="48" customFormat="1" x14ac:dyDescent="0.25">
      <c r="B33" s="49"/>
      <c r="C33" s="54" t="s">
        <v>41</v>
      </c>
      <c r="D33" s="45"/>
      <c r="E33" s="18"/>
      <c r="F33" s="47"/>
      <c r="G33" s="18"/>
      <c r="H33" s="18"/>
      <c r="I33" s="18"/>
    </row>
    <row r="34" spans="1:9" s="48" customFormat="1" x14ac:dyDescent="0.25">
      <c r="B34" s="45"/>
      <c r="C34" s="55" t="s">
        <v>42</v>
      </c>
      <c r="D34" s="45"/>
      <c r="E34" s="18"/>
      <c r="F34" s="47"/>
      <c r="G34" s="18"/>
      <c r="H34" s="18"/>
      <c r="I34" s="18"/>
    </row>
    <row r="35" spans="1:9" s="48" customFormat="1" ht="4.5" customHeight="1" x14ac:dyDescent="0.25">
      <c r="B35" s="45"/>
      <c r="C35" s="55"/>
      <c r="D35" s="45"/>
      <c r="E35" s="18"/>
      <c r="F35" s="47"/>
      <c r="G35" s="18"/>
      <c r="H35" s="18"/>
      <c r="I35" s="18"/>
    </row>
    <row r="36" spans="1:9" s="48" customFormat="1" hidden="1" x14ac:dyDescent="0.25">
      <c r="B36" s="45"/>
      <c r="C36" s="55"/>
      <c r="D36" s="45"/>
      <c r="E36" s="18"/>
      <c r="F36" s="47"/>
      <c r="G36" s="18"/>
      <c r="H36" s="18"/>
      <c r="I36" s="18"/>
    </row>
    <row r="37" spans="1:9" ht="18.75" customHeight="1" x14ac:dyDescent="0.25">
      <c r="B37" s="17"/>
      <c r="C37" s="56" t="s">
        <v>43</v>
      </c>
      <c r="D37" s="17"/>
      <c r="E37" s="84"/>
      <c r="F37" s="84"/>
      <c r="G37" s="84"/>
      <c r="H37" s="84"/>
      <c r="I37" s="1"/>
    </row>
    <row r="38" spans="1:9" ht="19.5" customHeight="1" x14ac:dyDescent="0.25">
      <c r="B38" s="57" t="s">
        <v>43</v>
      </c>
      <c r="C38" s="57"/>
      <c r="E38" s="17"/>
      <c r="F38" s="84" t="s">
        <v>44</v>
      </c>
      <c r="G38" s="84"/>
      <c r="H38" s="84"/>
      <c r="I38" s="85"/>
    </row>
    <row r="39" spans="1:9" hidden="1" x14ac:dyDescent="0.25">
      <c r="B39" s="17"/>
      <c r="C39" s="17"/>
      <c r="D39" s="57"/>
      <c r="E39" s="17"/>
      <c r="F39" s="18"/>
      <c r="G39" s="19"/>
      <c r="H39" s="18"/>
      <c r="I39" s="59"/>
    </row>
    <row r="40" spans="1:9" ht="3.4" hidden="1" customHeight="1" x14ac:dyDescent="0.25">
      <c r="B40" s="17"/>
      <c r="C40" s="17"/>
      <c r="D40" s="57"/>
      <c r="E40" s="17"/>
      <c r="F40" s="18"/>
      <c r="G40" s="19"/>
      <c r="H40" s="18"/>
      <c r="I40" s="59"/>
    </row>
    <row r="41" spans="1:9" ht="6.75" hidden="1" customHeight="1" x14ac:dyDescent="0.25">
      <c r="B41" s="17"/>
      <c r="C41" s="17"/>
      <c r="D41" s="17"/>
      <c r="E41" s="17"/>
      <c r="F41" s="20"/>
      <c r="G41" s="1"/>
      <c r="H41" s="1"/>
      <c r="I41" s="20"/>
    </row>
    <row r="42" spans="1:9" s="60" customFormat="1" ht="32.65" customHeight="1" x14ac:dyDescent="0.2">
      <c r="D42" s="61"/>
      <c r="E42" s="12"/>
      <c r="F42" s="12"/>
      <c r="I42" s="24"/>
    </row>
    <row r="43" spans="1:9" s="60" customFormat="1" ht="15" customHeight="1" x14ac:dyDescent="0.2">
      <c r="B43" s="62" t="s">
        <v>45</v>
      </c>
      <c r="C43" s="62"/>
      <c r="E43" s="12"/>
      <c r="F43" s="12"/>
      <c r="G43" s="63"/>
      <c r="H43" s="63"/>
      <c r="I43" s="24"/>
    </row>
    <row r="44" spans="1:9" ht="2.4500000000000002" customHeight="1" x14ac:dyDescent="0.25">
      <c r="E44" s="17"/>
      <c r="F44" s="64"/>
      <c r="G44" s="19"/>
    </row>
    <row r="45" spans="1:9" ht="15" customHeight="1" x14ac:dyDescent="0.25">
      <c r="B45" s="65" t="s">
        <v>46</v>
      </c>
      <c r="C45" s="65"/>
      <c r="E45" s="17"/>
      <c r="F45" s="64"/>
      <c r="G45" s="19"/>
    </row>
    <row r="46" spans="1:9" ht="15" customHeight="1" x14ac:dyDescent="0.25">
      <c r="B46" s="66" t="s">
        <v>47</v>
      </c>
      <c r="C46" s="66"/>
      <c r="D46" s="57"/>
      <c r="E46" s="17"/>
      <c r="F46" s="64"/>
      <c r="G46" s="19"/>
    </row>
    <row r="47" spans="1:9" ht="15.75" customHeight="1" x14ac:dyDescent="0.25">
      <c r="B47" s="67" t="s">
        <v>48</v>
      </c>
      <c r="C47" s="67"/>
      <c r="D47" s="57"/>
      <c r="E47" s="58"/>
      <c r="F47" s="64"/>
      <c r="G47" s="68"/>
    </row>
    <row r="48" spans="1:9" s="58" customFormat="1" ht="15.75" customHeight="1" x14ac:dyDescent="0.25">
      <c r="A48" s="1"/>
      <c r="C48" s="69"/>
      <c r="E48" s="64"/>
      <c r="F48" s="68"/>
      <c r="G48" s="64"/>
      <c r="H48" s="64"/>
      <c r="I48" s="64"/>
    </row>
    <row r="49" spans="1:9" s="58" customFormat="1" ht="15.75" customHeight="1" x14ac:dyDescent="0.25">
      <c r="A49" s="1"/>
      <c r="C49" s="69"/>
      <c r="E49" s="64"/>
      <c r="F49" s="68"/>
      <c r="G49" s="64"/>
      <c r="H49" s="64"/>
      <c r="I49" s="64"/>
    </row>
  </sheetData>
  <mergeCells count="8">
    <mergeCell ref="E37:H37"/>
    <mergeCell ref="F38:I38"/>
    <mergeCell ref="B1:H1"/>
    <mergeCell ref="B2:H2"/>
    <mergeCell ref="H3:I3"/>
    <mergeCell ref="B6:H6"/>
    <mergeCell ref="B16:F16"/>
    <mergeCell ref="C23:H23"/>
  </mergeCells>
  <hyperlinks>
    <hyperlink ref="B47" r:id="rId1" display="http://www.ntssi.vn/" xr:uid="{5A6439A4-9356-43A3-AC7D-2BDFB0778C70}"/>
  </hyperlinks>
  <pageMargins left="0.35" right="0.22" top="0.3" bottom="0.18" header="0.23" footer="0.14000000000000001"/>
  <pageSetup paperSize="9" scale="71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2AD7-6F3F-4FEC-8DF9-61428F005678}">
  <sheetPr>
    <pageSetUpPr fitToPage="1"/>
  </sheetPr>
  <dimension ref="A1:O46"/>
  <sheetViews>
    <sheetView view="pageBreakPreview" topLeftCell="B4" zoomScale="97" zoomScaleNormal="100" zoomScaleSheetLayoutView="100" workbookViewId="0">
      <selection activeCell="D12" sqref="D12"/>
    </sheetView>
  </sheetViews>
  <sheetFormatPr defaultRowHeight="12.75" x14ac:dyDescent="0.25"/>
  <cols>
    <col min="1" max="1" width="2.85546875" style="1" customWidth="1"/>
    <col min="2" max="2" width="4.85546875" style="58" customWidth="1"/>
    <col min="3" max="3" width="10.85546875" style="58" customWidth="1"/>
    <col min="4" max="4" width="58.5703125" style="58" customWidth="1"/>
    <col min="5" max="5" width="6.7109375" style="64" bestFit="1" customWidth="1"/>
    <col min="6" max="6" width="9.85546875" style="68" bestFit="1" customWidth="1"/>
    <col min="7" max="7" width="9.85546875" style="64" customWidth="1"/>
    <col min="8" max="8" width="9" style="64" bestFit="1" customWidth="1"/>
    <col min="9" max="9" width="9.85546875" style="64" bestFit="1" customWidth="1"/>
    <col min="10" max="12" width="9.28515625" style="1"/>
    <col min="13" max="13" width="18.5703125" style="1" customWidth="1"/>
    <col min="14" max="14" width="9.28515625" style="1"/>
    <col min="15" max="15" width="18.42578125" style="1" customWidth="1"/>
    <col min="16" max="246" width="9.28515625" style="1"/>
    <col min="247" max="247" width="2.85546875" style="1" customWidth="1"/>
    <col min="248" max="248" width="5.28515625" style="1" customWidth="1"/>
    <col min="249" max="249" width="17.28515625" style="1" customWidth="1"/>
    <col min="250" max="250" width="57.85546875" style="1" customWidth="1"/>
    <col min="251" max="251" width="5.5703125" style="1" customWidth="1"/>
    <col min="252" max="252" width="12" style="1" customWidth="1"/>
    <col min="253" max="253" width="14.28515625" style="1" customWidth="1"/>
    <col min="254" max="254" width="12" style="1" customWidth="1"/>
    <col min="255" max="255" width="0.28515625" style="1" customWidth="1"/>
    <col min="256" max="256" width="18.28515625" style="1" customWidth="1"/>
    <col min="257" max="502" width="9.28515625" style="1"/>
    <col min="503" max="503" width="2.85546875" style="1" customWidth="1"/>
    <col min="504" max="504" width="5.28515625" style="1" customWidth="1"/>
    <col min="505" max="505" width="17.28515625" style="1" customWidth="1"/>
    <col min="506" max="506" width="57.85546875" style="1" customWidth="1"/>
    <col min="507" max="507" width="5.5703125" style="1" customWidth="1"/>
    <col min="508" max="508" width="12" style="1" customWidth="1"/>
    <col min="509" max="509" width="14.28515625" style="1" customWidth="1"/>
    <col min="510" max="510" width="12" style="1" customWidth="1"/>
    <col min="511" max="511" width="0.28515625" style="1" customWidth="1"/>
    <col min="512" max="512" width="18.28515625" style="1" customWidth="1"/>
    <col min="513" max="758" width="9.28515625" style="1"/>
    <col min="759" max="759" width="2.85546875" style="1" customWidth="1"/>
    <col min="760" max="760" width="5.28515625" style="1" customWidth="1"/>
    <col min="761" max="761" width="17.28515625" style="1" customWidth="1"/>
    <col min="762" max="762" width="57.85546875" style="1" customWidth="1"/>
    <col min="763" max="763" width="5.5703125" style="1" customWidth="1"/>
    <col min="764" max="764" width="12" style="1" customWidth="1"/>
    <col min="765" max="765" width="14.28515625" style="1" customWidth="1"/>
    <col min="766" max="766" width="12" style="1" customWidth="1"/>
    <col min="767" max="767" width="0.28515625" style="1" customWidth="1"/>
    <col min="768" max="768" width="18.28515625" style="1" customWidth="1"/>
    <col min="769" max="1014" width="9.28515625" style="1"/>
    <col min="1015" max="1015" width="2.85546875" style="1" customWidth="1"/>
    <col min="1016" max="1016" width="5.28515625" style="1" customWidth="1"/>
    <col min="1017" max="1017" width="17.28515625" style="1" customWidth="1"/>
    <col min="1018" max="1018" width="57.85546875" style="1" customWidth="1"/>
    <col min="1019" max="1019" width="5.5703125" style="1" customWidth="1"/>
    <col min="1020" max="1020" width="12" style="1" customWidth="1"/>
    <col min="1021" max="1021" width="14.28515625" style="1" customWidth="1"/>
    <col min="1022" max="1022" width="12" style="1" customWidth="1"/>
    <col min="1023" max="1023" width="0.28515625" style="1" customWidth="1"/>
    <col min="1024" max="1024" width="18.28515625" style="1" customWidth="1"/>
    <col min="1025" max="1270" width="9.28515625" style="1"/>
    <col min="1271" max="1271" width="2.85546875" style="1" customWidth="1"/>
    <col min="1272" max="1272" width="5.28515625" style="1" customWidth="1"/>
    <col min="1273" max="1273" width="17.28515625" style="1" customWidth="1"/>
    <col min="1274" max="1274" width="57.85546875" style="1" customWidth="1"/>
    <col min="1275" max="1275" width="5.5703125" style="1" customWidth="1"/>
    <col min="1276" max="1276" width="12" style="1" customWidth="1"/>
    <col min="1277" max="1277" width="14.28515625" style="1" customWidth="1"/>
    <col min="1278" max="1278" width="12" style="1" customWidth="1"/>
    <col min="1279" max="1279" width="0.28515625" style="1" customWidth="1"/>
    <col min="1280" max="1280" width="18.28515625" style="1" customWidth="1"/>
    <col min="1281" max="1526" width="9.28515625" style="1"/>
    <col min="1527" max="1527" width="2.85546875" style="1" customWidth="1"/>
    <col min="1528" max="1528" width="5.28515625" style="1" customWidth="1"/>
    <col min="1529" max="1529" width="17.28515625" style="1" customWidth="1"/>
    <col min="1530" max="1530" width="57.85546875" style="1" customWidth="1"/>
    <col min="1531" max="1531" width="5.5703125" style="1" customWidth="1"/>
    <col min="1532" max="1532" width="12" style="1" customWidth="1"/>
    <col min="1533" max="1533" width="14.28515625" style="1" customWidth="1"/>
    <col min="1534" max="1534" width="12" style="1" customWidth="1"/>
    <col min="1535" max="1535" width="0.28515625" style="1" customWidth="1"/>
    <col min="1536" max="1536" width="18.28515625" style="1" customWidth="1"/>
    <col min="1537" max="1782" width="9.28515625" style="1"/>
    <col min="1783" max="1783" width="2.85546875" style="1" customWidth="1"/>
    <col min="1784" max="1784" width="5.28515625" style="1" customWidth="1"/>
    <col min="1785" max="1785" width="17.28515625" style="1" customWidth="1"/>
    <col min="1786" max="1786" width="57.85546875" style="1" customWidth="1"/>
    <col min="1787" max="1787" width="5.5703125" style="1" customWidth="1"/>
    <col min="1788" max="1788" width="12" style="1" customWidth="1"/>
    <col min="1789" max="1789" width="14.28515625" style="1" customWidth="1"/>
    <col min="1790" max="1790" width="12" style="1" customWidth="1"/>
    <col min="1791" max="1791" width="0.28515625" style="1" customWidth="1"/>
    <col min="1792" max="1792" width="18.28515625" style="1" customWidth="1"/>
    <col min="1793" max="2038" width="9.28515625" style="1"/>
    <col min="2039" max="2039" width="2.85546875" style="1" customWidth="1"/>
    <col min="2040" max="2040" width="5.28515625" style="1" customWidth="1"/>
    <col min="2041" max="2041" width="17.28515625" style="1" customWidth="1"/>
    <col min="2042" max="2042" width="57.85546875" style="1" customWidth="1"/>
    <col min="2043" max="2043" width="5.5703125" style="1" customWidth="1"/>
    <col min="2044" max="2044" width="12" style="1" customWidth="1"/>
    <col min="2045" max="2045" width="14.28515625" style="1" customWidth="1"/>
    <col min="2046" max="2046" width="12" style="1" customWidth="1"/>
    <col min="2047" max="2047" width="0.28515625" style="1" customWidth="1"/>
    <col min="2048" max="2048" width="18.28515625" style="1" customWidth="1"/>
    <col min="2049" max="2294" width="9.28515625" style="1"/>
    <col min="2295" max="2295" width="2.85546875" style="1" customWidth="1"/>
    <col min="2296" max="2296" width="5.28515625" style="1" customWidth="1"/>
    <col min="2297" max="2297" width="17.28515625" style="1" customWidth="1"/>
    <col min="2298" max="2298" width="57.85546875" style="1" customWidth="1"/>
    <col min="2299" max="2299" width="5.5703125" style="1" customWidth="1"/>
    <col min="2300" max="2300" width="12" style="1" customWidth="1"/>
    <col min="2301" max="2301" width="14.28515625" style="1" customWidth="1"/>
    <col min="2302" max="2302" width="12" style="1" customWidth="1"/>
    <col min="2303" max="2303" width="0.28515625" style="1" customWidth="1"/>
    <col min="2304" max="2304" width="18.28515625" style="1" customWidth="1"/>
    <col min="2305" max="2550" width="9.28515625" style="1"/>
    <col min="2551" max="2551" width="2.85546875" style="1" customWidth="1"/>
    <col min="2552" max="2552" width="5.28515625" style="1" customWidth="1"/>
    <col min="2553" max="2553" width="17.28515625" style="1" customWidth="1"/>
    <col min="2554" max="2554" width="57.85546875" style="1" customWidth="1"/>
    <col min="2555" max="2555" width="5.5703125" style="1" customWidth="1"/>
    <col min="2556" max="2556" width="12" style="1" customWidth="1"/>
    <col min="2557" max="2557" width="14.28515625" style="1" customWidth="1"/>
    <col min="2558" max="2558" width="12" style="1" customWidth="1"/>
    <col min="2559" max="2559" width="0.28515625" style="1" customWidth="1"/>
    <col min="2560" max="2560" width="18.28515625" style="1" customWidth="1"/>
    <col min="2561" max="2806" width="9.28515625" style="1"/>
    <col min="2807" max="2807" width="2.85546875" style="1" customWidth="1"/>
    <col min="2808" max="2808" width="5.28515625" style="1" customWidth="1"/>
    <col min="2809" max="2809" width="17.28515625" style="1" customWidth="1"/>
    <col min="2810" max="2810" width="57.85546875" style="1" customWidth="1"/>
    <col min="2811" max="2811" width="5.5703125" style="1" customWidth="1"/>
    <col min="2812" max="2812" width="12" style="1" customWidth="1"/>
    <col min="2813" max="2813" width="14.28515625" style="1" customWidth="1"/>
    <col min="2814" max="2814" width="12" style="1" customWidth="1"/>
    <col min="2815" max="2815" width="0.28515625" style="1" customWidth="1"/>
    <col min="2816" max="2816" width="18.28515625" style="1" customWidth="1"/>
    <col min="2817" max="3062" width="9.28515625" style="1"/>
    <col min="3063" max="3063" width="2.85546875" style="1" customWidth="1"/>
    <col min="3064" max="3064" width="5.28515625" style="1" customWidth="1"/>
    <col min="3065" max="3065" width="17.28515625" style="1" customWidth="1"/>
    <col min="3066" max="3066" width="57.85546875" style="1" customWidth="1"/>
    <col min="3067" max="3067" width="5.5703125" style="1" customWidth="1"/>
    <col min="3068" max="3068" width="12" style="1" customWidth="1"/>
    <col min="3069" max="3069" width="14.28515625" style="1" customWidth="1"/>
    <col min="3070" max="3070" width="12" style="1" customWidth="1"/>
    <col min="3071" max="3071" width="0.28515625" style="1" customWidth="1"/>
    <col min="3072" max="3072" width="18.28515625" style="1" customWidth="1"/>
    <col min="3073" max="3318" width="9.28515625" style="1"/>
    <col min="3319" max="3319" width="2.85546875" style="1" customWidth="1"/>
    <col min="3320" max="3320" width="5.28515625" style="1" customWidth="1"/>
    <col min="3321" max="3321" width="17.28515625" style="1" customWidth="1"/>
    <col min="3322" max="3322" width="57.85546875" style="1" customWidth="1"/>
    <col min="3323" max="3323" width="5.5703125" style="1" customWidth="1"/>
    <col min="3324" max="3324" width="12" style="1" customWidth="1"/>
    <col min="3325" max="3325" width="14.28515625" style="1" customWidth="1"/>
    <col min="3326" max="3326" width="12" style="1" customWidth="1"/>
    <col min="3327" max="3327" width="0.28515625" style="1" customWidth="1"/>
    <col min="3328" max="3328" width="18.28515625" style="1" customWidth="1"/>
    <col min="3329" max="3574" width="9.28515625" style="1"/>
    <col min="3575" max="3575" width="2.85546875" style="1" customWidth="1"/>
    <col min="3576" max="3576" width="5.28515625" style="1" customWidth="1"/>
    <col min="3577" max="3577" width="17.28515625" style="1" customWidth="1"/>
    <col min="3578" max="3578" width="57.85546875" style="1" customWidth="1"/>
    <col min="3579" max="3579" width="5.5703125" style="1" customWidth="1"/>
    <col min="3580" max="3580" width="12" style="1" customWidth="1"/>
    <col min="3581" max="3581" width="14.28515625" style="1" customWidth="1"/>
    <col min="3582" max="3582" width="12" style="1" customWidth="1"/>
    <col min="3583" max="3583" width="0.28515625" style="1" customWidth="1"/>
    <col min="3584" max="3584" width="18.28515625" style="1" customWidth="1"/>
    <col min="3585" max="3830" width="9.28515625" style="1"/>
    <col min="3831" max="3831" width="2.85546875" style="1" customWidth="1"/>
    <col min="3832" max="3832" width="5.28515625" style="1" customWidth="1"/>
    <col min="3833" max="3833" width="17.28515625" style="1" customWidth="1"/>
    <col min="3834" max="3834" width="57.85546875" style="1" customWidth="1"/>
    <col min="3835" max="3835" width="5.5703125" style="1" customWidth="1"/>
    <col min="3836" max="3836" width="12" style="1" customWidth="1"/>
    <col min="3837" max="3837" width="14.28515625" style="1" customWidth="1"/>
    <col min="3838" max="3838" width="12" style="1" customWidth="1"/>
    <col min="3839" max="3839" width="0.28515625" style="1" customWidth="1"/>
    <col min="3840" max="3840" width="18.28515625" style="1" customWidth="1"/>
    <col min="3841" max="4086" width="9.28515625" style="1"/>
    <col min="4087" max="4087" width="2.85546875" style="1" customWidth="1"/>
    <col min="4088" max="4088" width="5.28515625" style="1" customWidth="1"/>
    <col min="4089" max="4089" width="17.28515625" style="1" customWidth="1"/>
    <col min="4090" max="4090" width="57.85546875" style="1" customWidth="1"/>
    <col min="4091" max="4091" width="5.5703125" style="1" customWidth="1"/>
    <col min="4092" max="4092" width="12" style="1" customWidth="1"/>
    <col min="4093" max="4093" width="14.28515625" style="1" customWidth="1"/>
    <col min="4094" max="4094" width="12" style="1" customWidth="1"/>
    <col min="4095" max="4095" width="0.28515625" style="1" customWidth="1"/>
    <col min="4096" max="4096" width="18.28515625" style="1" customWidth="1"/>
    <col min="4097" max="4342" width="9.28515625" style="1"/>
    <col min="4343" max="4343" width="2.85546875" style="1" customWidth="1"/>
    <col min="4344" max="4344" width="5.28515625" style="1" customWidth="1"/>
    <col min="4345" max="4345" width="17.28515625" style="1" customWidth="1"/>
    <col min="4346" max="4346" width="57.85546875" style="1" customWidth="1"/>
    <col min="4347" max="4347" width="5.5703125" style="1" customWidth="1"/>
    <col min="4348" max="4348" width="12" style="1" customWidth="1"/>
    <col min="4349" max="4349" width="14.28515625" style="1" customWidth="1"/>
    <col min="4350" max="4350" width="12" style="1" customWidth="1"/>
    <col min="4351" max="4351" width="0.28515625" style="1" customWidth="1"/>
    <col min="4352" max="4352" width="18.28515625" style="1" customWidth="1"/>
    <col min="4353" max="4598" width="9.28515625" style="1"/>
    <col min="4599" max="4599" width="2.85546875" style="1" customWidth="1"/>
    <col min="4600" max="4600" width="5.28515625" style="1" customWidth="1"/>
    <col min="4601" max="4601" width="17.28515625" style="1" customWidth="1"/>
    <col min="4602" max="4602" width="57.85546875" style="1" customWidth="1"/>
    <col min="4603" max="4603" width="5.5703125" style="1" customWidth="1"/>
    <col min="4604" max="4604" width="12" style="1" customWidth="1"/>
    <col min="4605" max="4605" width="14.28515625" style="1" customWidth="1"/>
    <col min="4606" max="4606" width="12" style="1" customWidth="1"/>
    <col min="4607" max="4607" width="0.28515625" style="1" customWidth="1"/>
    <col min="4608" max="4608" width="18.28515625" style="1" customWidth="1"/>
    <col min="4609" max="4854" width="9.28515625" style="1"/>
    <col min="4855" max="4855" width="2.85546875" style="1" customWidth="1"/>
    <col min="4856" max="4856" width="5.28515625" style="1" customWidth="1"/>
    <col min="4857" max="4857" width="17.28515625" style="1" customWidth="1"/>
    <col min="4858" max="4858" width="57.85546875" style="1" customWidth="1"/>
    <col min="4859" max="4859" width="5.5703125" style="1" customWidth="1"/>
    <col min="4860" max="4860" width="12" style="1" customWidth="1"/>
    <col min="4861" max="4861" width="14.28515625" style="1" customWidth="1"/>
    <col min="4862" max="4862" width="12" style="1" customWidth="1"/>
    <col min="4863" max="4863" width="0.28515625" style="1" customWidth="1"/>
    <col min="4864" max="4864" width="18.28515625" style="1" customWidth="1"/>
    <col min="4865" max="5110" width="9.28515625" style="1"/>
    <col min="5111" max="5111" width="2.85546875" style="1" customWidth="1"/>
    <col min="5112" max="5112" width="5.28515625" style="1" customWidth="1"/>
    <col min="5113" max="5113" width="17.28515625" style="1" customWidth="1"/>
    <col min="5114" max="5114" width="57.85546875" style="1" customWidth="1"/>
    <col min="5115" max="5115" width="5.5703125" style="1" customWidth="1"/>
    <col min="5116" max="5116" width="12" style="1" customWidth="1"/>
    <col min="5117" max="5117" width="14.28515625" style="1" customWidth="1"/>
    <col min="5118" max="5118" width="12" style="1" customWidth="1"/>
    <col min="5119" max="5119" width="0.28515625" style="1" customWidth="1"/>
    <col min="5120" max="5120" width="18.28515625" style="1" customWidth="1"/>
    <col min="5121" max="5366" width="9.28515625" style="1"/>
    <col min="5367" max="5367" width="2.85546875" style="1" customWidth="1"/>
    <col min="5368" max="5368" width="5.28515625" style="1" customWidth="1"/>
    <col min="5369" max="5369" width="17.28515625" style="1" customWidth="1"/>
    <col min="5370" max="5370" width="57.85546875" style="1" customWidth="1"/>
    <col min="5371" max="5371" width="5.5703125" style="1" customWidth="1"/>
    <col min="5372" max="5372" width="12" style="1" customWidth="1"/>
    <col min="5373" max="5373" width="14.28515625" style="1" customWidth="1"/>
    <col min="5374" max="5374" width="12" style="1" customWidth="1"/>
    <col min="5375" max="5375" width="0.28515625" style="1" customWidth="1"/>
    <col min="5376" max="5376" width="18.28515625" style="1" customWidth="1"/>
    <col min="5377" max="5622" width="9.28515625" style="1"/>
    <col min="5623" max="5623" width="2.85546875" style="1" customWidth="1"/>
    <col min="5624" max="5624" width="5.28515625" style="1" customWidth="1"/>
    <col min="5625" max="5625" width="17.28515625" style="1" customWidth="1"/>
    <col min="5626" max="5626" width="57.85546875" style="1" customWidth="1"/>
    <col min="5627" max="5627" width="5.5703125" style="1" customWidth="1"/>
    <col min="5628" max="5628" width="12" style="1" customWidth="1"/>
    <col min="5629" max="5629" width="14.28515625" style="1" customWidth="1"/>
    <col min="5630" max="5630" width="12" style="1" customWidth="1"/>
    <col min="5631" max="5631" width="0.28515625" style="1" customWidth="1"/>
    <col min="5632" max="5632" width="18.28515625" style="1" customWidth="1"/>
    <col min="5633" max="5878" width="9.28515625" style="1"/>
    <col min="5879" max="5879" width="2.85546875" style="1" customWidth="1"/>
    <col min="5880" max="5880" width="5.28515625" style="1" customWidth="1"/>
    <col min="5881" max="5881" width="17.28515625" style="1" customWidth="1"/>
    <col min="5882" max="5882" width="57.85546875" style="1" customWidth="1"/>
    <col min="5883" max="5883" width="5.5703125" style="1" customWidth="1"/>
    <col min="5884" max="5884" width="12" style="1" customWidth="1"/>
    <col min="5885" max="5885" width="14.28515625" style="1" customWidth="1"/>
    <col min="5886" max="5886" width="12" style="1" customWidth="1"/>
    <col min="5887" max="5887" width="0.28515625" style="1" customWidth="1"/>
    <col min="5888" max="5888" width="18.28515625" style="1" customWidth="1"/>
    <col min="5889" max="6134" width="9.28515625" style="1"/>
    <col min="6135" max="6135" width="2.85546875" style="1" customWidth="1"/>
    <col min="6136" max="6136" width="5.28515625" style="1" customWidth="1"/>
    <col min="6137" max="6137" width="17.28515625" style="1" customWidth="1"/>
    <col min="6138" max="6138" width="57.85546875" style="1" customWidth="1"/>
    <col min="6139" max="6139" width="5.5703125" style="1" customWidth="1"/>
    <col min="6140" max="6140" width="12" style="1" customWidth="1"/>
    <col min="6141" max="6141" width="14.28515625" style="1" customWidth="1"/>
    <col min="6142" max="6142" width="12" style="1" customWidth="1"/>
    <col min="6143" max="6143" width="0.28515625" style="1" customWidth="1"/>
    <col min="6144" max="6144" width="18.28515625" style="1" customWidth="1"/>
    <col min="6145" max="6390" width="9.28515625" style="1"/>
    <col min="6391" max="6391" width="2.85546875" style="1" customWidth="1"/>
    <col min="6392" max="6392" width="5.28515625" style="1" customWidth="1"/>
    <col min="6393" max="6393" width="17.28515625" style="1" customWidth="1"/>
    <col min="6394" max="6394" width="57.85546875" style="1" customWidth="1"/>
    <col min="6395" max="6395" width="5.5703125" style="1" customWidth="1"/>
    <col min="6396" max="6396" width="12" style="1" customWidth="1"/>
    <col min="6397" max="6397" width="14.28515625" style="1" customWidth="1"/>
    <col min="6398" max="6398" width="12" style="1" customWidth="1"/>
    <col min="6399" max="6399" width="0.28515625" style="1" customWidth="1"/>
    <col min="6400" max="6400" width="18.28515625" style="1" customWidth="1"/>
    <col min="6401" max="6646" width="9.28515625" style="1"/>
    <col min="6647" max="6647" width="2.85546875" style="1" customWidth="1"/>
    <col min="6648" max="6648" width="5.28515625" style="1" customWidth="1"/>
    <col min="6649" max="6649" width="17.28515625" style="1" customWidth="1"/>
    <col min="6650" max="6650" width="57.85546875" style="1" customWidth="1"/>
    <col min="6651" max="6651" width="5.5703125" style="1" customWidth="1"/>
    <col min="6652" max="6652" width="12" style="1" customWidth="1"/>
    <col min="6653" max="6653" width="14.28515625" style="1" customWidth="1"/>
    <col min="6654" max="6654" width="12" style="1" customWidth="1"/>
    <col min="6655" max="6655" width="0.28515625" style="1" customWidth="1"/>
    <col min="6656" max="6656" width="18.28515625" style="1" customWidth="1"/>
    <col min="6657" max="6902" width="9.28515625" style="1"/>
    <col min="6903" max="6903" width="2.85546875" style="1" customWidth="1"/>
    <col min="6904" max="6904" width="5.28515625" style="1" customWidth="1"/>
    <col min="6905" max="6905" width="17.28515625" style="1" customWidth="1"/>
    <col min="6906" max="6906" width="57.85546875" style="1" customWidth="1"/>
    <col min="6907" max="6907" width="5.5703125" style="1" customWidth="1"/>
    <col min="6908" max="6908" width="12" style="1" customWidth="1"/>
    <col min="6909" max="6909" width="14.28515625" style="1" customWidth="1"/>
    <col min="6910" max="6910" width="12" style="1" customWidth="1"/>
    <col min="6911" max="6911" width="0.28515625" style="1" customWidth="1"/>
    <col min="6912" max="6912" width="18.28515625" style="1" customWidth="1"/>
    <col min="6913" max="7158" width="9.28515625" style="1"/>
    <col min="7159" max="7159" width="2.85546875" style="1" customWidth="1"/>
    <col min="7160" max="7160" width="5.28515625" style="1" customWidth="1"/>
    <col min="7161" max="7161" width="17.28515625" style="1" customWidth="1"/>
    <col min="7162" max="7162" width="57.85546875" style="1" customWidth="1"/>
    <col min="7163" max="7163" width="5.5703125" style="1" customWidth="1"/>
    <col min="7164" max="7164" width="12" style="1" customWidth="1"/>
    <col min="7165" max="7165" width="14.28515625" style="1" customWidth="1"/>
    <col min="7166" max="7166" width="12" style="1" customWidth="1"/>
    <col min="7167" max="7167" width="0.28515625" style="1" customWidth="1"/>
    <col min="7168" max="7168" width="18.28515625" style="1" customWidth="1"/>
    <col min="7169" max="7414" width="9.28515625" style="1"/>
    <col min="7415" max="7415" width="2.85546875" style="1" customWidth="1"/>
    <col min="7416" max="7416" width="5.28515625" style="1" customWidth="1"/>
    <col min="7417" max="7417" width="17.28515625" style="1" customWidth="1"/>
    <col min="7418" max="7418" width="57.85546875" style="1" customWidth="1"/>
    <col min="7419" max="7419" width="5.5703125" style="1" customWidth="1"/>
    <col min="7420" max="7420" width="12" style="1" customWidth="1"/>
    <col min="7421" max="7421" width="14.28515625" style="1" customWidth="1"/>
    <col min="7422" max="7422" width="12" style="1" customWidth="1"/>
    <col min="7423" max="7423" width="0.28515625" style="1" customWidth="1"/>
    <col min="7424" max="7424" width="18.28515625" style="1" customWidth="1"/>
    <col min="7425" max="7670" width="9.28515625" style="1"/>
    <col min="7671" max="7671" width="2.85546875" style="1" customWidth="1"/>
    <col min="7672" max="7672" width="5.28515625" style="1" customWidth="1"/>
    <col min="7673" max="7673" width="17.28515625" style="1" customWidth="1"/>
    <col min="7674" max="7674" width="57.85546875" style="1" customWidth="1"/>
    <col min="7675" max="7675" width="5.5703125" style="1" customWidth="1"/>
    <col min="7676" max="7676" width="12" style="1" customWidth="1"/>
    <col min="7677" max="7677" width="14.28515625" style="1" customWidth="1"/>
    <col min="7678" max="7678" width="12" style="1" customWidth="1"/>
    <col min="7679" max="7679" width="0.28515625" style="1" customWidth="1"/>
    <col min="7680" max="7680" width="18.28515625" style="1" customWidth="1"/>
    <col min="7681" max="7926" width="9.28515625" style="1"/>
    <col min="7927" max="7927" width="2.85546875" style="1" customWidth="1"/>
    <col min="7928" max="7928" width="5.28515625" style="1" customWidth="1"/>
    <col min="7929" max="7929" width="17.28515625" style="1" customWidth="1"/>
    <col min="7930" max="7930" width="57.85546875" style="1" customWidth="1"/>
    <col min="7931" max="7931" width="5.5703125" style="1" customWidth="1"/>
    <col min="7932" max="7932" width="12" style="1" customWidth="1"/>
    <col min="7933" max="7933" width="14.28515625" style="1" customWidth="1"/>
    <col min="7934" max="7934" width="12" style="1" customWidth="1"/>
    <col min="7935" max="7935" width="0.28515625" style="1" customWidth="1"/>
    <col min="7936" max="7936" width="18.28515625" style="1" customWidth="1"/>
    <col min="7937" max="8182" width="9.28515625" style="1"/>
    <col min="8183" max="8183" width="2.85546875" style="1" customWidth="1"/>
    <col min="8184" max="8184" width="5.28515625" style="1" customWidth="1"/>
    <col min="8185" max="8185" width="17.28515625" style="1" customWidth="1"/>
    <col min="8186" max="8186" width="57.85546875" style="1" customWidth="1"/>
    <col min="8187" max="8187" width="5.5703125" style="1" customWidth="1"/>
    <col min="8188" max="8188" width="12" style="1" customWidth="1"/>
    <col min="8189" max="8189" width="14.28515625" style="1" customWidth="1"/>
    <col min="8190" max="8190" width="12" style="1" customWidth="1"/>
    <col min="8191" max="8191" width="0.28515625" style="1" customWidth="1"/>
    <col min="8192" max="8192" width="18.28515625" style="1" customWidth="1"/>
    <col min="8193" max="8438" width="9.28515625" style="1"/>
    <col min="8439" max="8439" width="2.85546875" style="1" customWidth="1"/>
    <col min="8440" max="8440" width="5.28515625" style="1" customWidth="1"/>
    <col min="8441" max="8441" width="17.28515625" style="1" customWidth="1"/>
    <col min="8442" max="8442" width="57.85546875" style="1" customWidth="1"/>
    <col min="8443" max="8443" width="5.5703125" style="1" customWidth="1"/>
    <col min="8444" max="8444" width="12" style="1" customWidth="1"/>
    <col min="8445" max="8445" width="14.28515625" style="1" customWidth="1"/>
    <col min="8446" max="8446" width="12" style="1" customWidth="1"/>
    <col min="8447" max="8447" width="0.28515625" style="1" customWidth="1"/>
    <col min="8448" max="8448" width="18.28515625" style="1" customWidth="1"/>
    <col min="8449" max="8694" width="9.28515625" style="1"/>
    <col min="8695" max="8695" width="2.85546875" style="1" customWidth="1"/>
    <col min="8696" max="8696" width="5.28515625" style="1" customWidth="1"/>
    <col min="8697" max="8697" width="17.28515625" style="1" customWidth="1"/>
    <col min="8698" max="8698" width="57.85546875" style="1" customWidth="1"/>
    <col min="8699" max="8699" width="5.5703125" style="1" customWidth="1"/>
    <col min="8700" max="8700" width="12" style="1" customWidth="1"/>
    <col min="8701" max="8701" width="14.28515625" style="1" customWidth="1"/>
    <col min="8702" max="8702" width="12" style="1" customWidth="1"/>
    <col min="8703" max="8703" width="0.28515625" style="1" customWidth="1"/>
    <col min="8704" max="8704" width="18.28515625" style="1" customWidth="1"/>
    <col min="8705" max="8950" width="9.28515625" style="1"/>
    <col min="8951" max="8951" width="2.85546875" style="1" customWidth="1"/>
    <col min="8952" max="8952" width="5.28515625" style="1" customWidth="1"/>
    <col min="8953" max="8953" width="17.28515625" style="1" customWidth="1"/>
    <col min="8954" max="8954" width="57.85546875" style="1" customWidth="1"/>
    <col min="8955" max="8955" width="5.5703125" style="1" customWidth="1"/>
    <col min="8956" max="8956" width="12" style="1" customWidth="1"/>
    <col min="8957" max="8957" width="14.28515625" style="1" customWidth="1"/>
    <col min="8958" max="8958" width="12" style="1" customWidth="1"/>
    <col min="8959" max="8959" width="0.28515625" style="1" customWidth="1"/>
    <col min="8960" max="8960" width="18.28515625" style="1" customWidth="1"/>
    <col min="8961" max="9206" width="9.28515625" style="1"/>
    <col min="9207" max="9207" width="2.85546875" style="1" customWidth="1"/>
    <col min="9208" max="9208" width="5.28515625" style="1" customWidth="1"/>
    <col min="9209" max="9209" width="17.28515625" style="1" customWidth="1"/>
    <col min="9210" max="9210" width="57.85546875" style="1" customWidth="1"/>
    <col min="9211" max="9211" width="5.5703125" style="1" customWidth="1"/>
    <col min="9212" max="9212" width="12" style="1" customWidth="1"/>
    <col min="9213" max="9213" width="14.28515625" style="1" customWidth="1"/>
    <col min="9214" max="9214" width="12" style="1" customWidth="1"/>
    <col min="9215" max="9215" width="0.28515625" style="1" customWidth="1"/>
    <col min="9216" max="9216" width="18.28515625" style="1" customWidth="1"/>
    <col min="9217" max="9462" width="9.28515625" style="1"/>
    <col min="9463" max="9463" width="2.85546875" style="1" customWidth="1"/>
    <col min="9464" max="9464" width="5.28515625" style="1" customWidth="1"/>
    <col min="9465" max="9465" width="17.28515625" style="1" customWidth="1"/>
    <col min="9466" max="9466" width="57.85546875" style="1" customWidth="1"/>
    <col min="9467" max="9467" width="5.5703125" style="1" customWidth="1"/>
    <col min="9468" max="9468" width="12" style="1" customWidth="1"/>
    <col min="9469" max="9469" width="14.28515625" style="1" customWidth="1"/>
    <col min="9470" max="9470" width="12" style="1" customWidth="1"/>
    <col min="9471" max="9471" width="0.28515625" style="1" customWidth="1"/>
    <col min="9472" max="9472" width="18.28515625" style="1" customWidth="1"/>
    <col min="9473" max="9718" width="9.28515625" style="1"/>
    <col min="9719" max="9719" width="2.85546875" style="1" customWidth="1"/>
    <col min="9720" max="9720" width="5.28515625" style="1" customWidth="1"/>
    <col min="9721" max="9721" width="17.28515625" style="1" customWidth="1"/>
    <col min="9722" max="9722" width="57.85546875" style="1" customWidth="1"/>
    <col min="9723" max="9723" width="5.5703125" style="1" customWidth="1"/>
    <col min="9724" max="9724" width="12" style="1" customWidth="1"/>
    <col min="9725" max="9725" width="14.28515625" style="1" customWidth="1"/>
    <col min="9726" max="9726" width="12" style="1" customWidth="1"/>
    <col min="9727" max="9727" width="0.28515625" style="1" customWidth="1"/>
    <col min="9728" max="9728" width="18.28515625" style="1" customWidth="1"/>
    <col min="9729" max="9974" width="9.28515625" style="1"/>
    <col min="9975" max="9975" width="2.85546875" style="1" customWidth="1"/>
    <col min="9976" max="9976" width="5.28515625" style="1" customWidth="1"/>
    <col min="9977" max="9977" width="17.28515625" style="1" customWidth="1"/>
    <col min="9978" max="9978" width="57.85546875" style="1" customWidth="1"/>
    <col min="9979" max="9979" width="5.5703125" style="1" customWidth="1"/>
    <col min="9980" max="9980" width="12" style="1" customWidth="1"/>
    <col min="9981" max="9981" width="14.28515625" style="1" customWidth="1"/>
    <col min="9982" max="9982" width="12" style="1" customWidth="1"/>
    <col min="9983" max="9983" width="0.28515625" style="1" customWidth="1"/>
    <col min="9984" max="9984" width="18.28515625" style="1" customWidth="1"/>
    <col min="9985" max="10230" width="9.28515625" style="1"/>
    <col min="10231" max="10231" width="2.85546875" style="1" customWidth="1"/>
    <col min="10232" max="10232" width="5.28515625" style="1" customWidth="1"/>
    <col min="10233" max="10233" width="17.28515625" style="1" customWidth="1"/>
    <col min="10234" max="10234" width="57.85546875" style="1" customWidth="1"/>
    <col min="10235" max="10235" width="5.5703125" style="1" customWidth="1"/>
    <col min="10236" max="10236" width="12" style="1" customWidth="1"/>
    <col min="10237" max="10237" width="14.28515625" style="1" customWidth="1"/>
    <col min="10238" max="10238" width="12" style="1" customWidth="1"/>
    <col min="10239" max="10239" width="0.28515625" style="1" customWidth="1"/>
    <col min="10240" max="10240" width="18.28515625" style="1" customWidth="1"/>
    <col min="10241" max="10486" width="9.28515625" style="1"/>
    <col min="10487" max="10487" width="2.85546875" style="1" customWidth="1"/>
    <col min="10488" max="10488" width="5.28515625" style="1" customWidth="1"/>
    <col min="10489" max="10489" width="17.28515625" style="1" customWidth="1"/>
    <col min="10490" max="10490" width="57.85546875" style="1" customWidth="1"/>
    <col min="10491" max="10491" width="5.5703125" style="1" customWidth="1"/>
    <col min="10492" max="10492" width="12" style="1" customWidth="1"/>
    <col min="10493" max="10493" width="14.28515625" style="1" customWidth="1"/>
    <col min="10494" max="10494" width="12" style="1" customWidth="1"/>
    <col min="10495" max="10495" width="0.28515625" style="1" customWidth="1"/>
    <col min="10496" max="10496" width="18.28515625" style="1" customWidth="1"/>
    <col min="10497" max="10742" width="9.28515625" style="1"/>
    <col min="10743" max="10743" width="2.85546875" style="1" customWidth="1"/>
    <col min="10744" max="10744" width="5.28515625" style="1" customWidth="1"/>
    <col min="10745" max="10745" width="17.28515625" style="1" customWidth="1"/>
    <col min="10746" max="10746" width="57.85546875" style="1" customWidth="1"/>
    <col min="10747" max="10747" width="5.5703125" style="1" customWidth="1"/>
    <col min="10748" max="10748" width="12" style="1" customWidth="1"/>
    <col min="10749" max="10749" width="14.28515625" style="1" customWidth="1"/>
    <col min="10750" max="10750" width="12" style="1" customWidth="1"/>
    <col min="10751" max="10751" width="0.28515625" style="1" customWidth="1"/>
    <col min="10752" max="10752" width="18.28515625" style="1" customWidth="1"/>
    <col min="10753" max="10998" width="9.28515625" style="1"/>
    <col min="10999" max="10999" width="2.85546875" style="1" customWidth="1"/>
    <col min="11000" max="11000" width="5.28515625" style="1" customWidth="1"/>
    <col min="11001" max="11001" width="17.28515625" style="1" customWidth="1"/>
    <col min="11002" max="11002" width="57.85546875" style="1" customWidth="1"/>
    <col min="11003" max="11003" width="5.5703125" style="1" customWidth="1"/>
    <col min="11004" max="11004" width="12" style="1" customWidth="1"/>
    <col min="11005" max="11005" width="14.28515625" style="1" customWidth="1"/>
    <col min="11006" max="11006" width="12" style="1" customWidth="1"/>
    <col min="11007" max="11007" width="0.28515625" style="1" customWidth="1"/>
    <col min="11008" max="11008" width="18.28515625" style="1" customWidth="1"/>
    <col min="11009" max="11254" width="9.28515625" style="1"/>
    <col min="11255" max="11255" width="2.85546875" style="1" customWidth="1"/>
    <col min="11256" max="11256" width="5.28515625" style="1" customWidth="1"/>
    <col min="11257" max="11257" width="17.28515625" style="1" customWidth="1"/>
    <col min="11258" max="11258" width="57.85546875" style="1" customWidth="1"/>
    <col min="11259" max="11259" width="5.5703125" style="1" customWidth="1"/>
    <col min="11260" max="11260" width="12" style="1" customWidth="1"/>
    <col min="11261" max="11261" width="14.28515625" style="1" customWidth="1"/>
    <col min="11262" max="11262" width="12" style="1" customWidth="1"/>
    <col min="11263" max="11263" width="0.28515625" style="1" customWidth="1"/>
    <col min="11264" max="11264" width="18.28515625" style="1" customWidth="1"/>
    <col min="11265" max="11510" width="9.28515625" style="1"/>
    <col min="11511" max="11511" width="2.85546875" style="1" customWidth="1"/>
    <col min="11512" max="11512" width="5.28515625" style="1" customWidth="1"/>
    <col min="11513" max="11513" width="17.28515625" style="1" customWidth="1"/>
    <col min="11514" max="11514" width="57.85546875" style="1" customWidth="1"/>
    <col min="11515" max="11515" width="5.5703125" style="1" customWidth="1"/>
    <col min="11516" max="11516" width="12" style="1" customWidth="1"/>
    <col min="11517" max="11517" width="14.28515625" style="1" customWidth="1"/>
    <col min="11518" max="11518" width="12" style="1" customWidth="1"/>
    <col min="11519" max="11519" width="0.28515625" style="1" customWidth="1"/>
    <col min="11520" max="11520" width="18.28515625" style="1" customWidth="1"/>
    <col min="11521" max="11766" width="9.28515625" style="1"/>
    <col min="11767" max="11767" width="2.85546875" style="1" customWidth="1"/>
    <col min="11768" max="11768" width="5.28515625" style="1" customWidth="1"/>
    <col min="11769" max="11769" width="17.28515625" style="1" customWidth="1"/>
    <col min="11770" max="11770" width="57.85546875" style="1" customWidth="1"/>
    <col min="11771" max="11771" width="5.5703125" style="1" customWidth="1"/>
    <col min="11772" max="11772" width="12" style="1" customWidth="1"/>
    <col min="11773" max="11773" width="14.28515625" style="1" customWidth="1"/>
    <col min="11774" max="11774" width="12" style="1" customWidth="1"/>
    <col min="11775" max="11775" width="0.28515625" style="1" customWidth="1"/>
    <col min="11776" max="11776" width="18.28515625" style="1" customWidth="1"/>
    <col min="11777" max="12022" width="9.28515625" style="1"/>
    <col min="12023" max="12023" width="2.85546875" style="1" customWidth="1"/>
    <col min="12024" max="12024" width="5.28515625" style="1" customWidth="1"/>
    <col min="12025" max="12025" width="17.28515625" style="1" customWidth="1"/>
    <col min="12026" max="12026" width="57.85546875" style="1" customWidth="1"/>
    <col min="12027" max="12027" width="5.5703125" style="1" customWidth="1"/>
    <col min="12028" max="12028" width="12" style="1" customWidth="1"/>
    <col min="12029" max="12029" width="14.28515625" style="1" customWidth="1"/>
    <col min="12030" max="12030" width="12" style="1" customWidth="1"/>
    <col min="12031" max="12031" width="0.28515625" style="1" customWidth="1"/>
    <col min="12032" max="12032" width="18.28515625" style="1" customWidth="1"/>
    <col min="12033" max="12278" width="9.28515625" style="1"/>
    <col min="12279" max="12279" width="2.85546875" style="1" customWidth="1"/>
    <col min="12280" max="12280" width="5.28515625" style="1" customWidth="1"/>
    <col min="12281" max="12281" width="17.28515625" style="1" customWidth="1"/>
    <col min="12282" max="12282" width="57.85546875" style="1" customWidth="1"/>
    <col min="12283" max="12283" width="5.5703125" style="1" customWidth="1"/>
    <col min="12284" max="12284" width="12" style="1" customWidth="1"/>
    <col min="12285" max="12285" width="14.28515625" style="1" customWidth="1"/>
    <col min="12286" max="12286" width="12" style="1" customWidth="1"/>
    <col min="12287" max="12287" width="0.28515625" style="1" customWidth="1"/>
    <col min="12288" max="12288" width="18.28515625" style="1" customWidth="1"/>
    <col min="12289" max="12534" width="9.28515625" style="1"/>
    <col min="12535" max="12535" width="2.85546875" style="1" customWidth="1"/>
    <col min="12536" max="12536" width="5.28515625" style="1" customWidth="1"/>
    <col min="12537" max="12537" width="17.28515625" style="1" customWidth="1"/>
    <col min="12538" max="12538" width="57.85546875" style="1" customWidth="1"/>
    <col min="12539" max="12539" width="5.5703125" style="1" customWidth="1"/>
    <col min="12540" max="12540" width="12" style="1" customWidth="1"/>
    <col min="12541" max="12541" width="14.28515625" style="1" customWidth="1"/>
    <col min="12542" max="12542" width="12" style="1" customWidth="1"/>
    <col min="12543" max="12543" width="0.28515625" style="1" customWidth="1"/>
    <col min="12544" max="12544" width="18.28515625" style="1" customWidth="1"/>
    <col min="12545" max="12790" width="9.28515625" style="1"/>
    <col min="12791" max="12791" width="2.85546875" style="1" customWidth="1"/>
    <col min="12792" max="12792" width="5.28515625" style="1" customWidth="1"/>
    <col min="12793" max="12793" width="17.28515625" style="1" customWidth="1"/>
    <col min="12794" max="12794" width="57.85546875" style="1" customWidth="1"/>
    <col min="12795" max="12795" width="5.5703125" style="1" customWidth="1"/>
    <col min="12796" max="12796" width="12" style="1" customWidth="1"/>
    <col min="12797" max="12797" width="14.28515625" style="1" customWidth="1"/>
    <col min="12798" max="12798" width="12" style="1" customWidth="1"/>
    <col min="12799" max="12799" width="0.28515625" style="1" customWidth="1"/>
    <col min="12800" max="12800" width="18.28515625" style="1" customWidth="1"/>
    <col min="12801" max="13046" width="9.28515625" style="1"/>
    <col min="13047" max="13047" width="2.85546875" style="1" customWidth="1"/>
    <col min="13048" max="13048" width="5.28515625" style="1" customWidth="1"/>
    <col min="13049" max="13049" width="17.28515625" style="1" customWidth="1"/>
    <col min="13050" max="13050" width="57.85546875" style="1" customWidth="1"/>
    <col min="13051" max="13051" width="5.5703125" style="1" customWidth="1"/>
    <col min="13052" max="13052" width="12" style="1" customWidth="1"/>
    <col min="13053" max="13053" width="14.28515625" style="1" customWidth="1"/>
    <col min="13054" max="13054" width="12" style="1" customWidth="1"/>
    <col min="13055" max="13055" width="0.28515625" style="1" customWidth="1"/>
    <col min="13056" max="13056" width="18.28515625" style="1" customWidth="1"/>
    <col min="13057" max="13302" width="9.28515625" style="1"/>
    <col min="13303" max="13303" width="2.85546875" style="1" customWidth="1"/>
    <col min="13304" max="13304" width="5.28515625" style="1" customWidth="1"/>
    <col min="13305" max="13305" width="17.28515625" style="1" customWidth="1"/>
    <col min="13306" max="13306" width="57.85546875" style="1" customWidth="1"/>
    <col min="13307" max="13307" width="5.5703125" style="1" customWidth="1"/>
    <col min="13308" max="13308" width="12" style="1" customWidth="1"/>
    <col min="13309" max="13309" width="14.28515625" style="1" customWidth="1"/>
    <col min="13310" max="13310" width="12" style="1" customWidth="1"/>
    <col min="13311" max="13311" width="0.28515625" style="1" customWidth="1"/>
    <col min="13312" max="13312" width="18.28515625" style="1" customWidth="1"/>
    <col min="13313" max="13558" width="9.28515625" style="1"/>
    <col min="13559" max="13559" width="2.85546875" style="1" customWidth="1"/>
    <col min="13560" max="13560" width="5.28515625" style="1" customWidth="1"/>
    <col min="13561" max="13561" width="17.28515625" style="1" customWidth="1"/>
    <col min="13562" max="13562" width="57.85546875" style="1" customWidth="1"/>
    <col min="13563" max="13563" width="5.5703125" style="1" customWidth="1"/>
    <col min="13564" max="13564" width="12" style="1" customWidth="1"/>
    <col min="13565" max="13565" width="14.28515625" style="1" customWidth="1"/>
    <col min="13566" max="13566" width="12" style="1" customWidth="1"/>
    <col min="13567" max="13567" width="0.28515625" style="1" customWidth="1"/>
    <col min="13568" max="13568" width="18.28515625" style="1" customWidth="1"/>
    <col min="13569" max="13814" width="9.28515625" style="1"/>
    <col min="13815" max="13815" width="2.85546875" style="1" customWidth="1"/>
    <col min="13816" max="13816" width="5.28515625" style="1" customWidth="1"/>
    <col min="13817" max="13817" width="17.28515625" style="1" customWidth="1"/>
    <col min="13818" max="13818" width="57.85546875" style="1" customWidth="1"/>
    <col min="13819" max="13819" width="5.5703125" style="1" customWidth="1"/>
    <col min="13820" max="13820" width="12" style="1" customWidth="1"/>
    <col min="13821" max="13821" width="14.28515625" style="1" customWidth="1"/>
    <col min="13822" max="13822" width="12" style="1" customWidth="1"/>
    <col min="13823" max="13823" width="0.28515625" style="1" customWidth="1"/>
    <col min="13824" max="13824" width="18.28515625" style="1" customWidth="1"/>
    <col min="13825" max="14070" width="9.28515625" style="1"/>
    <col min="14071" max="14071" width="2.85546875" style="1" customWidth="1"/>
    <col min="14072" max="14072" width="5.28515625" style="1" customWidth="1"/>
    <col min="14073" max="14073" width="17.28515625" style="1" customWidth="1"/>
    <col min="14074" max="14074" width="57.85546875" style="1" customWidth="1"/>
    <col min="14075" max="14075" width="5.5703125" style="1" customWidth="1"/>
    <col min="14076" max="14076" width="12" style="1" customWidth="1"/>
    <col min="14077" max="14077" width="14.28515625" style="1" customWidth="1"/>
    <col min="14078" max="14078" width="12" style="1" customWidth="1"/>
    <col min="14079" max="14079" width="0.28515625" style="1" customWidth="1"/>
    <col min="14080" max="14080" width="18.28515625" style="1" customWidth="1"/>
    <col min="14081" max="14326" width="9.28515625" style="1"/>
    <col min="14327" max="14327" width="2.85546875" style="1" customWidth="1"/>
    <col min="14328" max="14328" width="5.28515625" style="1" customWidth="1"/>
    <col min="14329" max="14329" width="17.28515625" style="1" customWidth="1"/>
    <col min="14330" max="14330" width="57.85546875" style="1" customWidth="1"/>
    <col min="14331" max="14331" width="5.5703125" style="1" customWidth="1"/>
    <col min="14332" max="14332" width="12" style="1" customWidth="1"/>
    <col min="14333" max="14333" width="14.28515625" style="1" customWidth="1"/>
    <col min="14334" max="14334" width="12" style="1" customWidth="1"/>
    <col min="14335" max="14335" width="0.28515625" style="1" customWidth="1"/>
    <col min="14336" max="14336" width="18.28515625" style="1" customWidth="1"/>
    <col min="14337" max="14582" width="9.28515625" style="1"/>
    <col min="14583" max="14583" width="2.85546875" style="1" customWidth="1"/>
    <col min="14584" max="14584" width="5.28515625" style="1" customWidth="1"/>
    <col min="14585" max="14585" width="17.28515625" style="1" customWidth="1"/>
    <col min="14586" max="14586" width="57.85546875" style="1" customWidth="1"/>
    <col min="14587" max="14587" width="5.5703125" style="1" customWidth="1"/>
    <col min="14588" max="14588" width="12" style="1" customWidth="1"/>
    <col min="14589" max="14589" width="14.28515625" style="1" customWidth="1"/>
    <col min="14590" max="14590" width="12" style="1" customWidth="1"/>
    <col min="14591" max="14591" width="0.28515625" style="1" customWidth="1"/>
    <col min="14592" max="14592" width="18.28515625" style="1" customWidth="1"/>
    <col min="14593" max="14838" width="9.28515625" style="1"/>
    <col min="14839" max="14839" width="2.85546875" style="1" customWidth="1"/>
    <col min="14840" max="14840" width="5.28515625" style="1" customWidth="1"/>
    <col min="14841" max="14841" width="17.28515625" style="1" customWidth="1"/>
    <col min="14842" max="14842" width="57.85546875" style="1" customWidth="1"/>
    <col min="14843" max="14843" width="5.5703125" style="1" customWidth="1"/>
    <col min="14844" max="14844" width="12" style="1" customWidth="1"/>
    <col min="14845" max="14845" width="14.28515625" style="1" customWidth="1"/>
    <col min="14846" max="14846" width="12" style="1" customWidth="1"/>
    <col min="14847" max="14847" width="0.28515625" style="1" customWidth="1"/>
    <col min="14848" max="14848" width="18.28515625" style="1" customWidth="1"/>
    <col min="14849" max="15094" width="9.28515625" style="1"/>
    <col min="15095" max="15095" width="2.85546875" style="1" customWidth="1"/>
    <col min="15096" max="15096" width="5.28515625" style="1" customWidth="1"/>
    <col min="15097" max="15097" width="17.28515625" style="1" customWidth="1"/>
    <col min="15098" max="15098" width="57.85546875" style="1" customWidth="1"/>
    <col min="15099" max="15099" width="5.5703125" style="1" customWidth="1"/>
    <col min="15100" max="15100" width="12" style="1" customWidth="1"/>
    <col min="15101" max="15101" width="14.28515625" style="1" customWidth="1"/>
    <col min="15102" max="15102" width="12" style="1" customWidth="1"/>
    <col min="15103" max="15103" width="0.28515625" style="1" customWidth="1"/>
    <col min="15104" max="15104" width="18.28515625" style="1" customWidth="1"/>
    <col min="15105" max="15350" width="9.28515625" style="1"/>
    <col min="15351" max="15351" width="2.85546875" style="1" customWidth="1"/>
    <col min="15352" max="15352" width="5.28515625" style="1" customWidth="1"/>
    <col min="15353" max="15353" width="17.28515625" style="1" customWidth="1"/>
    <col min="15354" max="15354" width="57.85546875" style="1" customWidth="1"/>
    <col min="15355" max="15355" width="5.5703125" style="1" customWidth="1"/>
    <col min="15356" max="15356" width="12" style="1" customWidth="1"/>
    <col min="15357" max="15357" width="14.28515625" style="1" customWidth="1"/>
    <col min="15358" max="15358" width="12" style="1" customWidth="1"/>
    <col min="15359" max="15359" width="0.28515625" style="1" customWidth="1"/>
    <col min="15360" max="15360" width="18.28515625" style="1" customWidth="1"/>
    <col min="15361" max="15606" width="9.28515625" style="1"/>
    <col min="15607" max="15607" width="2.85546875" style="1" customWidth="1"/>
    <col min="15608" max="15608" width="5.28515625" style="1" customWidth="1"/>
    <col min="15609" max="15609" width="17.28515625" style="1" customWidth="1"/>
    <col min="15610" max="15610" width="57.85546875" style="1" customWidth="1"/>
    <col min="15611" max="15611" width="5.5703125" style="1" customWidth="1"/>
    <col min="15612" max="15612" width="12" style="1" customWidth="1"/>
    <col min="15613" max="15613" width="14.28515625" style="1" customWidth="1"/>
    <col min="15614" max="15614" width="12" style="1" customWidth="1"/>
    <col min="15615" max="15615" width="0.28515625" style="1" customWidth="1"/>
    <col min="15616" max="15616" width="18.28515625" style="1" customWidth="1"/>
    <col min="15617" max="15862" width="9.28515625" style="1"/>
    <col min="15863" max="15863" width="2.85546875" style="1" customWidth="1"/>
    <col min="15864" max="15864" width="5.28515625" style="1" customWidth="1"/>
    <col min="15865" max="15865" width="17.28515625" style="1" customWidth="1"/>
    <col min="15866" max="15866" width="57.85546875" style="1" customWidth="1"/>
    <col min="15867" max="15867" width="5.5703125" style="1" customWidth="1"/>
    <col min="15868" max="15868" width="12" style="1" customWidth="1"/>
    <col min="15869" max="15869" width="14.28515625" style="1" customWidth="1"/>
    <col min="15870" max="15870" width="12" style="1" customWidth="1"/>
    <col min="15871" max="15871" width="0.28515625" style="1" customWidth="1"/>
    <col min="15872" max="15872" width="18.28515625" style="1" customWidth="1"/>
    <col min="15873" max="16118" width="9.28515625" style="1"/>
    <col min="16119" max="16119" width="2.85546875" style="1" customWidth="1"/>
    <col min="16120" max="16120" width="5.28515625" style="1" customWidth="1"/>
    <col min="16121" max="16121" width="17.28515625" style="1" customWidth="1"/>
    <col min="16122" max="16122" width="57.85546875" style="1" customWidth="1"/>
    <col min="16123" max="16123" width="5.5703125" style="1" customWidth="1"/>
    <col min="16124" max="16124" width="12" style="1" customWidth="1"/>
    <col min="16125" max="16125" width="14.28515625" style="1" customWidth="1"/>
    <col min="16126" max="16126" width="12" style="1" customWidth="1"/>
    <col min="16127" max="16127" width="0.28515625" style="1" customWidth="1"/>
    <col min="16128" max="16128" width="18.28515625" style="1" customWidth="1"/>
    <col min="16129" max="16384" width="9.28515625" style="1"/>
  </cols>
  <sheetData>
    <row r="1" spans="2:15" ht="109.5" customHeight="1" x14ac:dyDescent="0.2">
      <c r="B1" s="86"/>
      <c r="C1" s="87"/>
      <c r="D1" s="87"/>
      <c r="E1" s="87"/>
      <c r="F1" s="87"/>
      <c r="G1" s="87"/>
      <c r="H1" s="87"/>
      <c r="I1" s="1"/>
    </row>
    <row r="2" spans="2:15" ht="3" customHeight="1" x14ac:dyDescent="0.25">
      <c r="B2" s="88"/>
      <c r="C2" s="88"/>
      <c r="D2" s="88"/>
      <c r="E2" s="88"/>
      <c r="F2" s="88"/>
      <c r="G2" s="88"/>
      <c r="H2" s="88"/>
      <c r="I2" s="1"/>
    </row>
    <row r="3" spans="2:15" s="4" customFormat="1" ht="27.4" customHeight="1" x14ac:dyDescent="0.25">
      <c r="B3" s="2" t="s">
        <v>0</v>
      </c>
      <c r="C3" s="2"/>
      <c r="D3" s="3"/>
      <c r="H3" s="89" t="s">
        <v>1</v>
      </c>
      <c r="I3" s="89"/>
      <c r="K3" s="5"/>
      <c r="L3" s="5"/>
    </row>
    <row r="4" spans="2:15" s="11" customFormat="1" ht="20.65" customHeight="1" x14ac:dyDescent="0.25">
      <c r="B4" s="6" t="s">
        <v>2</v>
      </c>
      <c r="C4" s="7"/>
      <c r="D4" s="8"/>
      <c r="E4" s="9"/>
      <c r="F4" s="8"/>
      <c r="G4" s="8"/>
      <c r="H4" s="10"/>
    </row>
    <row r="5" spans="2:15" s="11" customFormat="1" ht="20.65" customHeight="1" x14ac:dyDescent="0.25">
      <c r="B5" s="12" t="s">
        <v>3</v>
      </c>
      <c r="C5" s="7"/>
      <c r="D5" s="8"/>
      <c r="E5" s="9"/>
      <c r="F5" s="8"/>
      <c r="G5" s="8"/>
      <c r="H5" s="10"/>
    </row>
    <row r="6" spans="2:15" s="13" customFormat="1" ht="20.25" customHeight="1" x14ac:dyDescent="0.25">
      <c r="B6" s="90" t="s">
        <v>4</v>
      </c>
      <c r="C6" s="90"/>
      <c r="D6" s="90"/>
      <c r="E6" s="90"/>
      <c r="F6" s="90"/>
      <c r="G6" s="90"/>
      <c r="H6" s="90"/>
    </row>
    <row r="7" spans="2:15" s="13" customFormat="1" ht="1.5" customHeight="1" x14ac:dyDescent="0.25">
      <c r="B7" s="14"/>
      <c r="C7" s="14"/>
      <c r="D7" s="14"/>
      <c r="E7" s="15"/>
      <c r="F7" s="16"/>
      <c r="G7" s="15"/>
      <c r="H7" s="15"/>
      <c r="I7" s="15"/>
    </row>
    <row r="8" spans="2:15" ht="21" customHeight="1" x14ac:dyDescent="0.25">
      <c r="B8" s="17" t="s">
        <v>5</v>
      </c>
      <c r="C8" s="17"/>
      <c r="D8" s="17"/>
      <c r="E8" s="18"/>
      <c r="F8" s="19"/>
      <c r="G8" s="18"/>
      <c r="H8" s="18"/>
      <c r="I8" s="18"/>
    </row>
    <row r="9" spans="2:15" ht="6" customHeight="1" x14ac:dyDescent="0.25">
      <c r="B9" s="17"/>
      <c r="C9" s="17"/>
      <c r="D9" s="17"/>
      <c r="E9" s="20"/>
      <c r="F9" s="19"/>
      <c r="G9" s="20"/>
      <c r="H9" s="20"/>
      <c r="I9" s="20"/>
    </row>
    <row r="10" spans="2:15" s="24" customFormat="1" ht="39.75" customHeight="1" x14ac:dyDescent="0.25">
      <c r="B10" s="70" t="s">
        <v>6</v>
      </c>
      <c r="C10" s="71" t="s">
        <v>7</v>
      </c>
      <c r="D10" s="73" t="s">
        <v>50</v>
      </c>
      <c r="E10" s="74" t="s">
        <v>51</v>
      </c>
      <c r="F10" s="74" t="s">
        <v>52</v>
      </c>
      <c r="G10" s="74" t="s">
        <v>49</v>
      </c>
      <c r="H10" s="75" t="s">
        <v>53</v>
      </c>
      <c r="I10" s="74" t="s">
        <v>54</v>
      </c>
    </row>
    <row r="11" spans="2:15" s="24" customFormat="1" ht="65.650000000000006" customHeight="1" x14ac:dyDescent="0.25">
      <c r="B11" s="28">
        <v>1.1000000000000001</v>
      </c>
      <c r="C11" s="29" t="s">
        <v>19</v>
      </c>
      <c r="D11" s="76" t="s">
        <v>55</v>
      </c>
      <c r="E11" s="77">
        <v>2</v>
      </c>
      <c r="F11" s="78">
        <v>142000000</v>
      </c>
      <c r="G11" s="79">
        <f>E11*F11</f>
        <v>284000000</v>
      </c>
      <c r="H11" s="80">
        <f>G11*0.1</f>
        <v>28400000</v>
      </c>
      <c r="I11" s="80">
        <f>H11+G11</f>
        <v>312400000</v>
      </c>
      <c r="J11" s="32">
        <v>5150</v>
      </c>
      <c r="K11" s="24">
        <v>390</v>
      </c>
      <c r="L11" s="35">
        <v>0.05</v>
      </c>
      <c r="M11" s="36">
        <f>J11*(1-L11)+K11</f>
        <v>5282.5</v>
      </c>
      <c r="N11" s="24">
        <v>26600</v>
      </c>
      <c r="O11" s="36">
        <f>M11*N11</f>
        <v>140514500</v>
      </c>
    </row>
    <row r="12" spans="2:15" s="24" customFormat="1" ht="120" customHeight="1" x14ac:dyDescent="0.25">
      <c r="B12" s="28">
        <v>1.2</v>
      </c>
      <c r="C12" s="29" t="s">
        <v>21</v>
      </c>
      <c r="D12" s="76" t="s">
        <v>56</v>
      </c>
      <c r="E12" s="77">
        <v>1</v>
      </c>
      <c r="F12" s="78">
        <v>280000000</v>
      </c>
      <c r="G12" s="79">
        <f>E12*F12</f>
        <v>280000000</v>
      </c>
      <c r="H12" s="80"/>
      <c r="I12" s="80">
        <f>H12+G12</f>
        <v>280000000</v>
      </c>
      <c r="J12" s="32">
        <f>3576.48*3</f>
        <v>10729.44</v>
      </c>
      <c r="K12" s="24">
        <f>510.48*3</f>
        <v>1531.44</v>
      </c>
      <c r="L12" s="35">
        <v>0.05</v>
      </c>
      <c r="M12" s="36">
        <f>J12*(1-L12)+K12</f>
        <v>11724.408000000001</v>
      </c>
      <c r="N12" s="24">
        <v>26600</v>
      </c>
      <c r="O12" s="36">
        <f>M12*N12</f>
        <v>311869252.80000001</v>
      </c>
    </row>
    <row r="13" spans="2:15" s="44" customFormat="1" ht="24" customHeight="1" x14ac:dyDescent="0.25">
      <c r="B13" s="72"/>
      <c r="C13" s="72"/>
      <c r="D13" s="73" t="s">
        <v>26</v>
      </c>
      <c r="E13" s="81"/>
      <c r="F13" s="81"/>
      <c r="G13" s="82">
        <f>SUM(G11:G12)</f>
        <v>564000000</v>
      </c>
      <c r="H13" s="83">
        <f>SUM(H11:H12)</f>
        <v>28400000</v>
      </c>
      <c r="I13" s="83">
        <f>H13+G13</f>
        <v>592400000</v>
      </c>
    </row>
    <row r="14" spans="2:15" s="48" customFormat="1" ht="21.75" customHeight="1" x14ac:dyDescent="0.2">
      <c r="B14" s="45"/>
      <c r="C14" s="46" t="s">
        <v>27</v>
      </c>
      <c r="D14" s="45"/>
      <c r="E14" s="18"/>
      <c r="F14" s="47"/>
      <c r="G14" s="18"/>
      <c r="H14" s="18"/>
      <c r="I14" s="18"/>
    </row>
    <row r="15" spans="2:15" s="48" customFormat="1" ht="6.75" customHeight="1" x14ac:dyDescent="0.2">
      <c r="B15" s="45"/>
      <c r="C15" s="46"/>
      <c r="D15" s="45"/>
      <c r="E15" s="18"/>
      <c r="F15" s="47"/>
      <c r="G15" s="18"/>
      <c r="H15" s="18"/>
      <c r="I15" s="18"/>
    </row>
    <row r="16" spans="2:15" s="48" customFormat="1" ht="15" customHeight="1" x14ac:dyDescent="0.2">
      <c r="B16" s="49">
        <v>1</v>
      </c>
      <c r="C16" s="50" t="s">
        <v>28</v>
      </c>
      <c r="D16" s="17"/>
      <c r="E16" s="18"/>
      <c r="F16" s="47"/>
      <c r="G16" s="18"/>
      <c r="H16" s="18"/>
      <c r="I16" s="18"/>
    </row>
    <row r="17" spans="2:9" s="48" customFormat="1" ht="15" customHeight="1" x14ac:dyDescent="0.2">
      <c r="B17" s="49">
        <v>2</v>
      </c>
      <c r="C17" s="51" t="s">
        <v>29</v>
      </c>
      <c r="D17" s="17"/>
      <c r="E17" s="18"/>
      <c r="F17" s="47"/>
      <c r="G17" s="18"/>
      <c r="H17" s="18"/>
      <c r="I17" s="18"/>
    </row>
    <row r="18" spans="2:9" s="48" customFormat="1" ht="15" customHeight="1" x14ac:dyDescent="0.25">
      <c r="B18" s="49">
        <v>3</v>
      </c>
      <c r="C18" s="50" t="s">
        <v>30</v>
      </c>
      <c r="D18" s="45"/>
      <c r="E18" s="18"/>
      <c r="F18" s="47"/>
      <c r="G18" s="52"/>
      <c r="H18" s="52"/>
      <c r="I18" s="18"/>
    </row>
    <row r="19" spans="2:9" s="48" customFormat="1" ht="15" customHeight="1" x14ac:dyDescent="0.2">
      <c r="B19" s="49">
        <v>4</v>
      </c>
      <c r="C19" s="51" t="s">
        <v>31</v>
      </c>
      <c r="D19" s="45"/>
      <c r="E19" s="18"/>
      <c r="F19" s="47"/>
      <c r="G19" s="18"/>
      <c r="H19" s="18"/>
      <c r="I19" s="18"/>
    </row>
    <row r="20" spans="2:9" s="48" customFormat="1" x14ac:dyDescent="0.25">
      <c r="B20" s="49"/>
      <c r="C20" s="92" t="s">
        <v>32</v>
      </c>
      <c r="D20" s="93"/>
      <c r="E20" s="93"/>
      <c r="F20" s="93"/>
      <c r="G20" s="93"/>
      <c r="H20" s="93"/>
    </row>
    <row r="21" spans="2:9" s="48" customFormat="1" ht="15" customHeight="1" x14ac:dyDescent="0.2">
      <c r="B21" s="49">
        <v>6</v>
      </c>
      <c r="C21" s="50" t="s">
        <v>33</v>
      </c>
      <c r="D21" s="45"/>
      <c r="E21" s="18"/>
      <c r="F21" s="47"/>
      <c r="G21" s="18"/>
      <c r="H21" s="18"/>
      <c r="I21" s="18"/>
    </row>
    <row r="22" spans="2:9" s="48" customFormat="1" ht="15" customHeight="1" x14ac:dyDescent="0.2">
      <c r="B22" s="49"/>
      <c r="C22" s="50" t="s">
        <v>34</v>
      </c>
      <c r="D22" s="45"/>
      <c r="E22" s="18"/>
      <c r="F22" s="47"/>
      <c r="G22" s="18"/>
      <c r="H22" s="18"/>
      <c r="I22" s="18"/>
    </row>
    <row r="23" spans="2:9" s="48" customFormat="1" ht="15" customHeight="1" x14ac:dyDescent="0.2">
      <c r="B23" s="49"/>
      <c r="C23" s="50" t="s">
        <v>35</v>
      </c>
      <c r="D23" s="45"/>
      <c r="E23" s="18"/>
      <c r="F23" s="47"/>
      <c r="G23" s="18"/>
      <c r="H23" s="18"/>
      <c r="I23" s="18"/>
    </row>
    <row r="24" spans="2:9" s="48" customFormat="1" ht="15" hidden="1" customHeight="1" x14ac:dyDescent="0.2">
      <c r="B24" s="49"/>
      <c r="C24" s="50"/>
      <c r="D24" s="45"/>
      <c r="E24" s="18"/>
      <c r="F24" s="47"/>
      <c r="G24" s="18"/>
      <c r="H24" s="18"/>
      <c r="I24" s="18"/>
    </row>
    <row r="25" spans="2:9" s="48" customFormat="1" ht="15" customHeight="1" x14ac:dyDescent="0.2">
      <c r="B25" s="49">
        <v>7</v>
      </c>
      <c r="C25" s="51" t="s">
        <v>36</v>
      </c>
      <c r="D25" s="45"/>
      <c r="E25" s="18"/>
      <c r="F25" s="47"/>
      <c r="G25" s="18"/>
      <c r="H25" s="18"/>
      <c r="I25" s="18"/>
    </row>
    <row r="26" spans="2:9" s="48" customFormat="1" ht="15" hidden="1" customHeight="1" x14ac:dyDescent="0.2">
      <c r="B26" s="53" t="s">
        <v>37</v>
      </c>
      <c r="C26" s="51" t="s">
        <v>38</v>
      </c>
      <c r="D26" s="45"/>
      <c r="E26" s="18"/>
      <c r="F26" s="47"/>
      <c r="G26" s="18"/>
      <c r="H26" s="18"/>
      <c r="I26" s="18"/>
    </row>
    <row r="27" spans="2:9" s="48" customFormat="1" ht="15" hidden="1" customHeight="1" x14ac:dyDescent="0.2">
      <c r="B27" s="49">
        <v>8</v>
      </c>
      <c r="C27" s="51" t="s">
        <v>39</v>
      </c>
      <c r="D27" s="45"/>
      <c r="E27" s="18"/>
      <c r="F27" s="47"/>
      <c r="G27" s="18"/>
      <c r="H27" s="18"/>
      <c r="I27" s="18"/>
    </row>
    <row r="28" spans="2:9" s="48" customFormat="1" ht="15" hidden="1" customHeight="1" x14ac:dyDescent="0.2">
      <c r="B28" s="53">
        <v>9</v>
      </c>
      <c r="C28" s="51" t="s">
        <v>38</v>
      </c>
      <c r="D28" s="45"/>
      <c r="E28" s="18"/>
      <c r="F28" s="47"/>
      <c r="G28" s="18"/>
      <c r="H28" s="18"/>
      <c r="I28" s="18"/>
    </row>
    <row r="29" spans="2:9" s="48" customFormat="1" ht="15" hidden="1" customHeight="1" x14ac:dyDescent="0.2">
      <c r="B29" s="49"/>
      <c r="C29" s="51" t="s">
        <v>40</v>
      </c>
      <c r="D29" s="45"/>
      <c r="E29" s="18"/>
      <c r="F29" s="47"/>
      <c r="G29" s="18"/>
      <c r="H29" s="18"/>
      <c r="I29" s="18"/>
    </row>
    <row r="30" spans="2:9" s="48" customFormat="1" x14ac:dyDescent="0.25">
      <c r="B30" s="49"/>
      <c r="C30" s="54" t="s">
        <v>41</v>
      </c>
      <c r="D30" s="45"/>
      <c r="E30" s="18"/>
      <c r="F30" s="47"/>
      <c r="G30" s="18"/>
      <c r="H30" s="18"/>
      <c r="I30" s="18"/>
    </row>
    <row r="31" spans="2:9" s="48" customFormat="1" x14ac:dyDescent="0.25">
      <c r="B31" s="45"/>
      <c r="C31" s="55" t="s">
        <v>42</v>
      </c>
      <c r="D31" s="45"/>
      <c r="E31" s="18"/>
      <c r="F31" s="47"/>
      <c r="G31" s="18"/>
      <c r="H31" s="18"/>
      <c r="I31" s="18"/>
    </row>
    <row r="32" spans="2:9" s="48" customFormat="1" ht="4.5" customHeight="1" x14ac:dyDescent="0.25">
      <c r="B32" s="45"/>
      <c r="C32" s="55"/>
      <c r="D32" s="45"/>
      <c r="E32" s="18"/>
      <c r="F32" s="47"/>
      <c r="G32" s="18"/>
      <c r="H32" s="18"/>
      <c r="I32" s="18"/>
    </row>
    <row r="33" spans="1:9" s="48" customFormat="1" hidden="1" x14ac:dyDescent="0.25">
      <c r="B33" s="45"/>
      <c r="C33" s="55"/>
      <c r="D33" s="45"/>
      <c r="E33" s="18"/>
      <c r="F33" s="47"/>
      <c r="G33" s="18"/>
      <c r="H33" s="18"/>
      <c r="I33" s="18"/>
    </row>
    <row r="34" spans="1:9" ht="18.75" customHeight="1" x14ac:dyDescent="0.25">
      <c r="B34" s="17"/>
      <c r="C34" s="56" t="s">
        <v>43</v>
      </c>
      <c r="D34" s="17"/>
      <c r="E34" s="84"/>
      <c r="F34" s="84"/>
      <c r="G34" s="84"/>
      <c r="H34" s="84"/>
      <c r="I34" s="1"/>
    </row>
    <row r="35" spans="1:9" ht="19.5" customHeight="1" x14ac:dyDescent="0.25">
      <c r="B35" s="57" t="s">
        <v>43</v>
      </c>
      <c r="C35" s="57"/>
      <c r="E35" s="17"/>
      <c r="F35" s="84" t="s">
        <v>44</v>
      </c>
      <c r="G35" s="84"/>
      <c r="H35" s="84"/>
      <c r="I35" s="85"/>
    </row>
    <row r="36" spans="1:9" hidden="1" x14ac:dyDescent="0.25">
      <c r="B36" s="17"/>
      <c r="C36" s="17"/>
      <c r="D36" s="57"/>
      <c r="E36" s="17"/>
      <c r="F36" s="18"/>
      <c r="G36" s="19"/>
      <c r="H36" s="18"/>
      <c r="I36" s="59"/>
    </row>
    <row r="37" spans="1:9" ht="3.4" hidden="1" customHeight="1" x14ac:dyDescent="0.25">
      <c r="B37" s="17"/>
      <c r="C37" s="17"/>
      <c r="D37" s="57"/>
      <c r="E37" s="17"/>
      <c r="F37" s="18"/>
      <c r="G37" s="19"/>
      <c r="H37" s="18"/>
      <c r="I37" s="59"/>
    </row>
    <row r="38" spans="1:9" ht="6.75" hidden="1" customHeight="1" x14ac:dyDescent="0.25">
      <c r="B38" s="17"/>
      <c r="C38" s="17"/>
      <c r="D38" s="17"/>
      <c r="E38" s="17"/>
      <c r="F38" s="20"/>
      <c r="G38" s="1"/>
      <c r="H38" s="1"/>
      <c r="I38" s="20"/>
    </row>
    <row r="39" spans="1:9" s="60" customFormat="1" ht="32.65" customHeight="1" x14ac:dyDescent="0.2">
      <c r="D39" s="61"/>
      <c r="E39" s="12"/>
      <c r="F39" s="12"/>
      <c r="I39" s="24"/>
    </row>
    <row r="40" spans="1:9" s="60" customFormat="1" ht="15" customHeight="1" x14ac:dyDescent="0.2">
      <c r="B40" s="62" t="s">
        <v>45</v>
      </c>
      <c r="C40" s="62"/>
      <c r="E40" s="12"/>
      <c r="F40" s="12"/>
      <c r="G40" s="63"/>
      <c r="H40" s="63"/>
      <c r="I40" s="24"/>
    </row>
    <row r="41" spans="1:9" ht="2.4500000000000002" customHeight="1" x14ac:dyDescent="0.25">
      <c r="E41" s="17"/>
      <c r="F41" s="64"/>
      <c r="G41" s="19"/>
    </row>
    <row r="42" spans="1:9" ht="15" customHeight="1" x14ac:dyDescent="0.25">
      <c r="B42" s="65" t="s">
        <v>46</v>
      </c>
      <c r="C42" s="65"/>
      <c r="E42" s="17"/>
      <c r="F42" s="64"/>
      <c r="G42" s="19"/>
    </row>
    <row r="43" spans="1:9" ht="15" customHeight="1" x14ac:dyDescent="0.25">
      <c r="B43" s="66" t="s">
        <v>47</v>
      </c>
      <c r="C43" s="66"/>
      <c r="D43" s="57"/>
      <c r="E43" s="17"/>
      <c r="F43" s="64"/>
      <c r="G43" s="19"/>
    </row>
    <row r="44" spans="1:9" ht="15.75" customHeight="1" x14ac:dyDescent="0.25">
      <c r="B44" s="67" t="s">
        <v>48</v>
      </c>
      <c r="C44" s="67"/>
      <c r="D44" s="57"/>
      <c r="E44" s="58"/>
      <c r="F44" s="64"/>
      <c r="G44" s="68"/>
    </row>
    <row r="45" spans="1:9" s="58" customFormat="1" ht="15.75" customHeight="1" x14ac:dyDescent="0.25">
      <c r="A45" s="1"/>
      <c r="C45" s="69"/>
      <c r="E45" s="64"/>
      <c r="F45" s="68"/>
      <c r="G45" s="64"/>
      <c r="H45" s="64"/>
      <c r="I45" s="64"/>
    </row>
    <row r="46" spans="1:9" s="58" customFormat="1" ht="15.75" customHeight="1" x14ac:dyDescent="0.25">
      <c r="A46" s="1"/>
      <c r="C46" s="69"/>
      <c r="E46" s="64"/>
      <c r="F46" s="68"/>
      <c r="G46" s="64"/>
      <c r="H46" s="64"/>
      <c r="I46" s="64"/>
    </row>
  </sheetData>
  <mergeCells count="7">
    <mergeCell ref="E34:H34"/>
    <mergeCell ref="F35:I35"/>
    <mergeCell ref="B1:H1"/>
    <mergeCell ref="B2:H2"/>
    <mergeCell ref="H3:I3"/>
    <mergeCell ref="B6:H6"/>
    <mergeCell ref="C20:H20"/>
  </mergeCells>
  <hyperlinks>
    <hyperlink ref="B44" r:id="rId1" display="http://www.ntssi.vn/" xr:uid="{85FE341E-EA10-47B4-851E-64EA1927773C}"/>
  </hyperlinks>
  <pageMargins left="0.35" right="0.22" top="0.3" bottom="0.18" header="0.23" footer="0.14000000000000001"/>
  <pageSetup paperSize="9" scale="8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XGS 3100 STD (3)</vt:lpstr>
      <vt:lpstr>XGS 3100 STD (2)</vt:lpstr>
      <vt:lpstr>XGS 3100 DL</vt:lpstr>
      <vt:lpstr>'XGS 3100 DL'!Print_Area</vt:lpstr>
      <vt:lpstr>'XGS 3100 STD (2)'!Print_Area</vt:lpstr>
      <vt:lpstr>'XGS 3100 STD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Sơn Lê</dc:creator>
  <cp:lastModifiedBy>2051120086 - Nguyễn Võ Đình Anh - CN20A</cp:lastModifiedBy>
  <cp:lastPrinted>2026-04-14T01:54:49Z</cp:lastPrinted>
  <dcterms:created xsi:type="dcterms:W3CDTF">2026-04-04T03:23:13Z</dcterms:created>
  <dcterms:modified xsi:type="dcterms:W3CDTF">2026-05-09T07:19:37Z</dcterms:modified>
</cp:coreProperties>
</file>