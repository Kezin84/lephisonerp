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28BB68-8005-4902-BDF4-A518CDA37536}" xr6:coauthVersionLast="47" xr6:coauthVersionMax="47" xr10:uidLastSave="{00000000-0000-0000-0000-000000000000}"/>
  <bookViews>
    <workbookView xWindow="28680" yWindow="-900" windowWidth="29040" windowHeight="15720" tabRatio="500" xr2:uid="{00000000-000D-0000-FFFF-FFFF00000000}"/>
  </bookViews>
  <sheets>
    <sheet name="BaoGia" sheetId="1" r:id="rId1"/>
  </sheets>
  <definedNames>
    <definedName name="_xlnm.Print_Area" localSheetId="0">BaoGia!$A$1:$I$47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6" i="1" l="1"/>
  <c r="G16" i="1" s="1"/>
  <c r="F15" i="1"/>
  <c r="G15" i="1" s="1"/>
  <c r="H15" i="1" s="1"/>
  <c r="G17" i="1" l="1"/>
  <c r="H16" i="1"/>
  <c r="H17" i="1" s="1"/>
  <c r="I15" i="1"/>
  <c r="I16" i="1" l="1"/>
  <c r="I1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5" authorId="0" shapeId="0" xr:uid="{00000000-0006-0000-0000-000001000000}">
      <text>
        <r>
          <rPr>
            <sz val="10"/>
            <rFont val="Arial"/>
            <family val="2"/>
          </rPr>
          <t>Đơn giá 549 USD x tỷ giá 26.200 VND/USD (nguồn: file CSV, cột Don_gia / Ti_gia)</t>
        </r>
      </text>
    </comment>
    <comment ref="F16" authorId="0" shapeId="0" xr:uid="{00000000-0006-0000-0000-000002000000}">
      <text>
        <r>
          <rPr>
            <sz val="10"/>
            <rFont val="Arial"/>
            <family val="2"/>
          </rPr>
          <t>Đơn giá 919.5 USD x tỷ giá 26.200 VND/USD (nguồn: file CSV, cột Don_gia / Ti_gia)</t>
        </r>
      </text>
    </comment>
  </commentList>
</comments>
</file>

<file path=xl/sharedStrings.xml><?xml version="1.0" encoding="utf-8"?>
<sst xmlns="http://schemas.openxmlformats.org/spreadsheetml/2006/main" count="42" uniqueCount="41">
  <si>
    <t>Ngày : 02/10/2026</t>
  </si>
  <si>
    <t>BẢNG BÁO GIÁ</t>
  </si>
  <si>
    <t>Công ty Nam Trường Sơn trân trọng gởi đến Quý khách hàng bảng báo giá như sau:</t>
  </si>
  <si>
    <t>STT</t>
  </si>
  <si>
    <t>TÊN HÀNG HÓA</t>
  </si>
  <si>
    <t>DIỄN GIẢI</t>
  </si>
  <si>
    <t>DVT</t>
  </si>
  <si>
    <t>S.L</t>
  </si>
  <si>
    <t>ĐƠN GIÁ (VND)</t>
  </si>
  <si>
    <t>THÀNH TIỀN TRƯỚC THUẾ</t>
  </si>
  <si>
    <t>THUẾ VAT</t>
  </si>
  <si>
    <t>THÀNH TIỀN SAU THUẾ</t>
  </si>
  <si>
    <t>FIREWALL SOPHOS XGS 88 / XGS 118</t>
  </si>
  <si>
    <t>XGS 88 Hardware Appliance</t>
  </si>
  <si>
    <t>THIẾT BỊ TƯỜNG LỬA THẾ HỆ MỚI
Sophos XGS 88 Hardware Appliance:
XGS 88 HW appliance with 4x 2.5GE ports, flash memory + Base License (incl. FW, VPN, and Wireless) for unlimited users + power cable.</t>
  </si>
  <si>
    <t>BẢN QUYỀN</t>
  </si>
  <si>
    <t>XGS 118 Hardware Appliance</t>
  </si>
  <si>
    <t>THIẾT BỊ TƯỜNG LỬA THẾ HỆ MỚI
Sophos XGS 118 Hardware Appliance:
XGS 118 HW Appliance with 9x 2.5GE + 1 SFP port, 1 expansion bay for optional 5G module, SSD + Base License (incl. FW, VPN, and Wireless) for unlimited users + power cable.</t>
  </si>
  <si>
    <t>TỔNG CỘNG + THUẾ</t>
  </si>
  <si>
    <t>CÁC ĐIỀU KHOẢN THƯƠNG MẠI KHÁC:</t>
  </si>
  <si>
    <t>Thuế VAT: Giá trên đã bao gồm thuế GTGT;</t>
  </si>
  <si>
    <t>Bảng giá nêu trên không bao gồm phí cài đặt. Bảo hành: 01 năm</t>
  </si>
  <si>
    <t>Giao hàng: trong vòng 04-06 tuần kể từ ngày ký xác nhận đặt hàng.</t>
  </si>
  <si>
    <t>Phương thức thanh toán: Thanh toán bằng tiền mặt / chuyển khoản .</t>
  </si>
  <si>
    <t>TÀI KHOẢN NGÂN HÀNG:</t>
  </si>
  <si>
    <t xml:space="preserve">Đơn vị thụ hưởng:  CÔNG TY CP TÍCH HỢP HỆ THỐNG NAM TRƯỜNG SƠN </t>
  </si>
  <si>
    <t>Số tài khoản VNĐ: 199458149 tại NH TMCP Á Châu - CN Phan Đăng Lưu - P. GD Lê Quang Định</t>
  </si>
  <si>
    <t>tại Ngân hàng TMCP Xuất Nhập Khẩu VN - CN Q.10, Tp.HCM , Exim Bank</t>
  </si>
  <si>
    <t>Bảng giá có giá trị trong vòng 07 ngày kể từ ngày báo giá.</t>
  </si>
  <si>
    <t xml:space="preserve">- Đơn đặt hàng chỉ được tiến hành sau khi Bên Mua Hàng đồng ý với các điều khoản nêu </t>
  </si>
  <si>
    <t xml:space="preserve">  trên bằng cách  kí và đóng dấu vào Xác nhận đơn hàng này và gởi lại cho Bên Bán hàng</t>
  </si>
  <si>
    <t>Trân Trọng,</t>
  </si>
  <si>
    <t>Xác nhận đặt hàng</t>
  </si>
  <si>
    <t>Le Phi Son  -  090 813 7488</t>
  </si>
  <si>
    <t xml:space="preserve"> NTS System Integration Corp.</t>
  </si>
  <si>
    <t xml:space="preserve"> Add: 20 Tang Bat Ho Street, Ward 11, Binh Thanh District, Ho Chi Minh City, VN</t>
  </si>
  <si>
    <t xml:space="preserve"> T:  (028) 3841 8080 | F:  (028) 3841 5555 | E: info@ntssi.vn | W: www.ntssi.vn </t>
  </si>
  <si>
    <t xml:space="preserve">Địa chỉ:{{ địa chỉ công ty }} </t>
  </si>
  <si>
    <t>Người nhận : {{tên khách hàng}}</t>
  </si>
  <si>
    <t>Kính gởi: {{tên công ty}}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</si>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</sst>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\$#,##0.00"/>
  </numFmts>
  <fonts count="20" x14ac:knownFonts="1">
    <font>
      <sz val="11"/>
      <name val="Calibri"/>
      <charset val="1"/>
    </font>
    <font>
      <sz val="11"/>
      <color theme="1"/>
      <name val="Calibri"/>
      <family val="2"/>
      <charset val="163"/>
    </font>
    <font>
      <u/>
      <sz val="11"/>
      <color theme="10"/>
      <name val="Calibri"/>
      <family val="2"/>
      <charset val="163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sz val="10"/>
      <name val="Arial"/>
      <family val="2"/>
      <charset val="1"/>
    </font>
    <font>
      <i/>
      <sz val="11"/>
      <name val="Arial"/>
      <family val="2"/>
      <charset val="1"/>
    </font>
    <font>
      <i/>
      <sz val="11"/>
      <color rgb="FF000000"/>
      <name val="Arial"/>
      <family val="2"/>
      <charset val="1"/>
    </font>
    <font>
      <b/>
      <sz val="11"/>
      <name val="Arial"/>
      <family val="2"/>
      <charset val="1"/>
    </font>
    <font>
      <b/>
      <sz val="12"/>
      <color rgb="FF3333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b/>
      <sz val="11"/>
      <color theme="1"/>
      <name val="Arial"/>
      <family val="2"/>
      <charset val="1"/>
    </font>
    <font>
      <b/>
      <sz val="10"/>
      <color rgb="FF0000CC"/>
      <name val="Arial"/>
      <family val="2"/>
      <charset val="1"/>
    </font>
    <font>
      <b/>
      <i/>
      <sz val="10"/>
      <name val="Arial"/>
      <family val="2"/>
      <charset val="1"/>
    </font>
    <font>
      <b/>
      <u/>
      <sz val="11"/>
      <name val="Arial"/>
      <family val="2"/>
      <charset val="1"/>
    </font>
    <font>
      <sz val="9.5"/>
      <color rgb="FF0070C0"/>
      <name val="Arial"/>
      <family val="2"/>
      <charset val="1"/>
    </font>
    <font>
      <u/>
      <sz val="11"/>
      <color theme="10"/>
      <name val="Arial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/>
    <xf numFmtId="0" fontId="2" fillId="0" borderId="0"/>
    <xf numFmtId="0" fontId="3" fillId="0" borderId="0"/>
    <xf numFmtId="0" fontId="1" fillId="0" borderId="0"/>
  </cellStyleXfs>
  <cellXfs count="56">
    <xf numFmtId="0" fontId="0" fillId="0" borderId="0" xfId="0"/>
    <xf numFmtId="165" fontId="11" fillId="0" borderId="0" xfId="0" applyNumberFormat="1" applyFont="1" applyAlignment="1">
      <alignment horizontal="center" vertical="top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  <xf numFmtId="3" fontId="10" fillId="0" borderId="0" xfId="0" applyNumberFormat="1" applyFont="1" applyAlignment="1">
      <alignment vertical="center"/>
    </xf>
    <xf numFmtId="3" fontId="8" fillId="3" borderId="1" xfId="0" applyNumberFormat="1" applyFont="1" applyFill="1" applyBorder="1" applyAlignment="1">
      <alignment horizontal="right" vertical="center" wrapText="1"/>
    </xf>
    <xf numFmtId="3" fontId="11" fillId="0" borderId="0" xfId="0" applyNumberFormat="1" applyFont="1" applyAlignment="1">
      <alignment horizontal="center" vertical="center"/>
    </xf>
    <xf numFmtId="3" fontId="12" fillId="0" borderId="0" xfId="0" applyNumberFormat="1" applyFont="1"/>
    <xf numFmtId="165" fontId="11" fillId="0" borderId="0" xfId="0" applyNumberFormat="1" applyFont="1" applyAlignment="1">
      <alignment horizontal="center" vertical="top"/>
    </xf>
    <xf numFmtId="3" fontId="11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right" vertical="center"/>
    </xf>
    <xf numFmtId="3" fontId="11" fillId="0" borderId="0" xfId="0" applyNumberFormat="1" applyFont="1"/>
    <xf numFmtId="3" fontId="10" fillId="0" borderId="0" xfId="0" applyNumberFormat="1" applyFont="1"/>
    <xf numFmtId="3" fontId="13" fillId="0" borderId="0" xfId="0" applyNumberFormat="1" applyFont="1"/>
    <xf numFmtId="3" fontId="10" fillId="0" borderId="0" xfId="0" applyNumberFormat="1" applyFont="1" applyAlignment="1">
      <alignment horizontal="right" wrapText="1"/>
    </xf>
    <xf numFmtId="3" fontId="11" fillId="4" borderId="0" xfId="0" applyNumberFormat="1" applyFont="1" applyFill="1" applyAlignment="1">
      <alignment vertical="center"/>
    </xf>
    <xf numFmtId="3" fontId="11" fillId="0" borderId="0" xfId="0" applyNumberFormat="1" applyFont="1" applyAlignment="1">
      <alignment vertical="top"/>
    </xf>
    <xf numFmtId="0" fontId="10" fillId="0" borderId="0" xfId="0" applyFont="1" applyAlignment="1">
      <alignment vertical="center"/>
    </xf>
    <xf numFmtId="3" fontId="11" fillId="0" borderId="0" xfId="0" applyNumberFormat="1" applyFont="1" applyAlignment="1">
      <alignment vertical="center"/>
    </xf>
    <xf numFmtId="165" fontId="11" fillId="0" borderId="0" xfId="0" applyNumberFormat="1" applyFont="1" applyAlignment="1">
      <alignment vertical="top"/>
    </xf>
    <xf numFmtId="3" fontId="10" fillId="0" borderId="0" xfId="0" applyNumberFormat="1" applyFont="1" applyAlignment="1">
      <alignment vertical="top"/>
    </xf>
    <xf numFmtId="165" fontId="12" fillId="0" borderId="0" xfId="0" applyNumberFormat="1" applyFont="1" applyAlignment="1">
      <alignment horizontal="center" vertical="top"/>
    </xf>
    <xf numFmtId="165" fontId="10" fillId="0" borderId="0" xfId="0" applyNumberFormat="1" applyFont="1" applyAlignment="1">
      <alignment vertical="top"/>
    </xf>
    <xf numFmtId="0" fontId="4" fillId="0" borderId="0" xfId="0" applyFont="1" applyAlignment="1">
      <alignment vertical="center"/>
    </xf>
    <xf numFmtId="0" fontId="15" fillId="0" borderId="0" xfId="0" applyFont="1"/>
    <xf numFmtId="0" fontId="8" fillId="0" borderId="0" xfId="0" applyFont="1" applyAlignment="1">
      <alignment horizontal="center" vertical="center"/>
    </xf>
    <xf numFmtId="0" fontId="14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4" borderId="0" xfId="0" applyFont="1" applyFill="1" applyBorder="1" applyAlignment="1">
      <alignment horizontal="center" vertical="center" wrapText="1"/>
    </xf>
    <xf numFmtId="0" fontId="8" fillId="4" borderId="0" xfId="0" applyFont="1" applyFill="1" applyBorder="1" applyAlignment="1">
      <alignment horizontal="right" vertical="center" wrapText="1"/>
    </xf>
    <xf numFmtId="3" fontId="8" fillId="4" borderId="0" xfId="0" applyNumberFormat="1" applyFont="1" applyFill="1" applyBorder="1" applyAlignment="1">
      <alignment horizontal="right" vertical="center" wrapText="1"/>
    </xf>
    <xf numFmtId="0" fontId="0" fillId="4" borderId="0" xfId="0" applyFill="1" applyBorder="1"/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3" fontId="4" fillId="0" borderId="2" xfId="0" applyNumberFormat="1" applyFont="1" applyBorder="1" applyAlignment="1">
      <alignment horizontal="center" vertical="top" wrapText="1"/>
    </xf>
    <xf numFmtId="3" fontId="4" fillId="0" borderId="2" xfId="0" applyNumberFormat="1" applyFont="1" applyBorder="1" applyAlignment="1">
      <alignment horizontal="right" vertical="top" wrapText="1"/>
    </xf>
    <xf numFmtId="0" fontId="0" fillId="0" borderId="0" xfId="0" applyBorder="1"/>
    <xf numFmtId="0" fontId="8" fillId="2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3" xfId="0" applyNumberFormat="1" applyFont="1" applyBorder="1" applyAlignment="1">
      <alignment horizontal="center" vertical="top" wrapText="1"/>
    </xf>
    <xf numFmtId="3" fontId="4" fillId="0" borderId="3" xfId="0" applyNumberFormat="1" applyFont="1" applyBorder="1" applyAlignment="1">
      <alignment horizontal="right" vertical="top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3" fontId="8" fillId="3" borderId="4" xfId="0" applyNumberFormat="1" applyFont="1" applyFill="1" applyBorder="1" applyAlignment="1">
      <alignment horizontal="center" vertical="center" wrapText="1"/>
    </xf>
    <xf numFmtId="3" fontId="8" fillId="3" borderId="5" xfId="0" applyNumberFormat="1" applyFont="1" applyFill="1" applyBorder="1" applyAlignment="1">
      <alignment horizontal="center" vertical="center" wrapText="1"/>
    </xf>
  </cellXfs>
  <cellStyles count="5">
    <cellStyle name="Comma 2" xfId="1" xr:uid="{00000000-0005-0000-0000-000006000000}"/>
    <cellStyle name="Hyperlink 4" xfId="2" xr:uid="{00000000-0005-0000-0000-000007000000}"/>
    <cellStyle name="Normal" xfId="0" builtinId="0"/>
    <cellStyle name="Normal 13 3" xfId="3" xr:uid="{00000000-0005-0000-0000-000008000000}"/>
    <cellStyle name="Normal 2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F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905040</xdr:colOff>
      <xdr:row>4</xdr:row>
      <xdr:rowOff>143640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0"/>
          <a:ext cx="7963200" cy="905760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0</xdr:col>
      <xdr:colOff>0</xdr:colOff>
      <xdr:row>43</xdr:row>
      <xdr:rowOff>99000</xdr:rowOff>
    </xdr:from>
    <xdr:to>
      <xdr:col>6</xdr:col>
      <xdr:colOff>387720</xdr:colOff>
      <xdr:row>44</xdr:row>
      <xdr:rowOff>14040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11043360"/>
          <a:ext cx="5738760" cy="105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ntssi.vn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7"/>
  <sheetViews>
    <sheetView tabSelected="1" view="pageBreakPreview" zoomScale="85" zoomScaleNormal="85" zoomScaleSheetLayoutView="85" workbookViewId="0">
      <selection activeCell="S7" sqref="S7"/>
    </sheetView>
  </sheetViews>
  <sheetFormatPr defaultColWidth="8.7109375" defaultRowHeight="15" x14ac:dyDescent="0.25"/>
  <cols>
    <col min="1" max="1" width="5.85546875" customWidth="1"/>
    <col min="2" max="2" width="20.42578125" customWidth="1"/>
    <col min="3" max="3" width="28.42578125" customWidth="1"/>
    <col min="4" max="4" width="5.42578125" bestFit="1" customWidth="1"/>
    <col min="5" max="5" width="4.7109375" customWidth="1"/>
    <col min="6" max="6" width="11.5703125" bestFit="1" customWidth="1"/>
    <col min="7" max="7" width="14.7109375" customWidth="1"/>
    <col min="8" max="8" width="12.42578125" customWidth="1"/>
    <col min="9" max="9" width="12.85546875" customWidth="1"/>
  </cols>
  <sheetData>
    <row r="1" spans="1:9" ht="15" customHeight="1" x14ac:dyDescent="0.25">
      <c r="A1" s="5"/>
      <c r="B1" s="5"/>
      <c r="C1" s="5"/>
      <c r="D1" s="5"/>
      <c r="E1" s="5"/>
      <c r="F1" s="5"/>
      <c r="G1" s="5"/>
      <c r="H1" s="5"/>
      <c r="I1" s="5"/>
    </row>
    <row r="2" spans="1:9" ht="15" customHeight="1" x14ac:dyDescent="0.25">
      <c r="A2" s="5"/>
      <c r="B2" s="5"/>
      <c r="C2" s="5"/>
      <c r="D2" s="5"/>
      <c r="E2" s="5"/>
      <c r="F2" s="5"/>
      <c r="G2" s="5"/>
      <c r="H2" s="5"/>
      <c r="I2" s="5"/>
    </row>
    <row r="3" spans="1:9" ht="15" customHeight="1" x14ac:dyDescent="0.25">
      <c r="A3" s="5"/>
      <c r="B3" s="5"/>
      <c r="C3" s="5"/>
      <c r="D3" s="5"/>
      <c r="E3" s="5"/>
      <c r="F3" s="5"/>
      <c r="G3" s="5"/>
      <c r="H3" s="5"/>
      <c r="I3" s="5"/>
    </row>
    <row r="4" spans="1:9" ht="23.25" customHeight="1" x14ac:dyDescent="0.25">
      <c r="A4" s="5"/>
      <c r="B4" s="5"/>
      <c r="C4" s="5"/>
      <c r="D4" s="5"/>
      <c r="E4" s="5"/>
      <c r="F4" s="5"/>
      <c r="G4" s="5"/>
      <c r="H4" s="5"/>
      <c r="I4" s="5"/>
    </row>
    <row r="5" spans="1:9" ht="1.5" customHeight="1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ht="15" customHeight="1" x14ac:dyDescent="0.25">
      <c r="A6" s="6"/>
      <c r="B6" s="6"/>
      <c r="C6" s="6"/>
      <c r="D6" s="6"/>
      <c r="E6" s="6"/>
      <c r="F6" s="6"/>
      <c r="G6" s="6"/>
      <c r="H6" s="6"/>
      <c r="I6" s="6"/>
    </row>
    <row r="7" spans="1:9" ht="15" customHeight="1" x14ac:dyDescent="0.25">
      <c r="A7" s="7" t="s">
        <v>39</v>
      </c>
      <c r="B7" s="6"/>
      <c r="C7" s="6"/>
      <c r="D7" s="6"/>
      <c r="E7" s="6"/>
      <c r="F7" s="6"/>
      <c r="G7" s="4" t="s">
        <v>0</v>
      </c>
      <c r="H7" s="4"/>
      <c r="I7" s="6"/>
    </row>
    <row r="8" spans="1:9" s="9" customFormat="1" ht="14.25" customHeight="1" x14ac:dyDescent="0.25">
      <c r="A8" s="8" t="s">
        <v>37</v>
      </c>
    </row>
    <row r="9" spans="1:9" ht="15" customHeight="1" x14ac:dyDescent="0.25">
      <c r="A9" s="6" t="s">
        <v>38</v>
      </c>
      <c r="B9" s="6"/>
      <c r="C9" s="6"/>
      <c r="D9" s="6"/>
      <c r="E9" s="6"/>
      <c r="F9" s="6"/>
      <c r="G9" s="10"/>
      <c r="H9" s="6"/>
      <c r="I9" s="6"/>
    </row>
    <row r="10" spans="1:9" ht="15.75" customHeight="1" x14ac:dyDescent="0.25">
      <c r="A10" s="3" t="s">
        <v>1</v>
      </c>
      <c r="B10" s="3"/>
      <c r="C10" s="3"/>
      <c r="D10" s="3"/>
      <c r="E10" s="3"/>
      <c r="F10" s="3"/>
      <c r="G10" s="3"/>
      <c r="H10" s="3"/>
      <c r="I10" s="3"/>
    </row>
    <row r="11" spans="1:9" ht="15.75" customHeight="1" x14ac:dyDescent="0.25">
      <c r="A11" s="12" t="s">
        <v>2</v>
      </c>
      <c r="B11" s="11"/>
      <c r="C11" s="11"/>
      <c r="D11" s="11"/>
      <c r="E11" s="11"/>
      <c r="F11" s="11"/>
      <c r="G11" s="11"/>
      <c r="H11" s="11"/>
      <c r="I11" s="11"/>
    </row>
    <row r="12" spans="1:9" ht="3.75" customHeight="1" x14ac:dyDescent="0.25">
      <c r="A12" s="6"/>
      <c r="B12" s="6"/>
      <c r="C12" s="6"/>
      <c r="D12" s="6"/>
      <c r="E12" s="6"/>
      <c r="F12" s="6"/>
      <c r="G12" s="6"/>
      <c r="H12" s="6"/>
      <c r="I12" s="6"/>
    </row>
    <row r="13" spans="1:9" ht="60" customHeight="1" x14ac:dyDescent="0.25">
      <c r="A13" s="47" t="s">
        <v>3</v>
      </c>
      <c r="B13" s="47" t="s">
        <v>4</v>
      </c>
      <c r="C13" s="47" t="s">
        <v>5</v>
      </c>
      <c r="D13" s="47" t="s">
        <v>6</v>
      </c>
      <c r="E13" s="47" t="s">
        <v>7</v>
      </c>
      <c r="F13" s="47" t="s">
        <v>8</v>
      </c>
      <c r="G13" s="47" t="s">
        <v>9</v>
      </c>
      <c r="H13" s="47" t="s">
        <v>10</v>
      </c>
      <c r="I13" s="47" t="s">
        <v>11</v>
      </c>
    </row>
    <row r="14" spans="1:9" ht="13.5" customHeight="1" x14ac:dyDescent="0.25">
      <c r="A14" s="52" t="s">
        <v>40</v>
      </c>
      <c r="B14" s="53" t="s">
        <v>12</v>
      </c>
      <c r="C14" s="53"/>
      <c r="D14" s="52"/>
      <c r="E14" s="54"/>
      <c r="F14" s="54"/>
      <c r="G14" s="54"/>
      <c r="H14" s="54"/>
      <c r="I14" s="55"/>
    </row>
    <row r="15" spans="1:9" ht="124.5" customHeight="1" x14ac:dyDescent="0.25">
      <c r="A15" s="48">
        <v>1</v>
      </c>
      <c r="B15" s="49" t="s">
        <v>13</v>
      </c>
      <c r="C15" s="49" t="s">
        <v>14</v>
      </c>
      <c r="D15" s="48" t="s">
        <v>15</v>
      </c>
      <c r="E15" s="50">
        <v>1</v>
      </c>
      <c r="F15" s="51">
        <f>549*26200</f>
        <v>14383800</v>
      </c>
      <c r="G15" s="51">
        <f>E15*F15</f>
        <v>14383800</v>
      </c>
      <c r="H15" s="51">
        <f>ROUND(G15*0.08,0)</f>
        <v>1150704</v>
      </c>
      <c r="I15" s="51">
        <f>G15+H15</f>
        <v>15534504</v>
      </c>
    </row>
    <row r="16" spans="1:9" ht="150" customHeight="1" x14ac:dyDescent="0.25">
      <c r="A16" s="42">
        <v>2</v>
      </c>
      <c r="B16" s="43" t="s">
        <v>16</v>
      </c>
      <c r="C16" s="43" t="s">
        <v>17</v>
      </c>
      <c r="D16" s="42" t="s">
        <v>15</v>
      </c>
      <c r="E16" s="44">
        <v>1</v>
      </c>
      <c r="F16" s="45">
        <f>919.5*26200</f>
        <v>24090900</v>
      </c>
      <c r="G16" s="45">
        <f>E16*F16</f>
        <v>24090900</v>
      </c>
      <c r="H16" s="45">
        <f>ROUND(G16*0.08,0)</f>
        <v>1927272</v>
      </c>
      <c r="I16" s="45">
        <f>G16+H16</f>
        <v>26018172</v>
      </c>
    </row>
    <row r="17" spans="1:9" s="46" customFormat="1" ht="29.25" customHeight="1" x14ac:dyDescent="0.25">
      <c r="A17" s="2" t="s">
        <v>18</v>
      </c>
      <c r="B17" s="2"/>
      <c r="C17" s="2"/>
      <c r="D17" s="2"/>
      <c r="E17" s="2"/>
      <c r="F17" s="2"/>
      <c r="G17" s="13">
        <f>SUM(G15:G16)</f>
        <v>38474700</v>
      </c>
      <c r="H17" s="13">
        <f>SUM(H15:H16)</f>
        <v>3077976</v>
      </c>
      <c r="I17" s="13">
        <f>SUM(I15:I16)</f>
        <v>41552676</v>
      </c>
    </row>
    <row r="18" spans="1:9" s="41" customFormat="1" ht="9.75" customHeight="1" x14ac:dyDescent="0.25">
      <c r="A18" s="38"/>
      <c r="B18" s="39"/>
      <c r="C18" s="39"/>
      <c r="D18" s="39"/>
      <c r="E18" s="40"/>
      <c r="F18" s="40"/>
      <c r="G18" s="40"/>
      <c r="H18" s="40"/>
      <c r="I18" s="40"/>
    </row>
    <row r="19" spans="1:9" ht="14.25" customHeight="1" x14ac:dyDescent="0.25">
      <c r="A19" s="14"/>
      <c r="B19" s="15" t="s">
        <v>19</v>
      </c>
      <c r="C19" s="14"/>
      <c r="D19" s="16"/>
      <c r="E19" s="17"/>
      <c r="F19" s="16"/>
      <c r="G19" s="16"/>
      <c r="H19" s="16"/>
      <c r="I19" s="6"/>
    </row>
    <row r="20" spans="1:9" ht="15" customHeight="1" x14ac:dyDescent="0.25">
      <c r="A20" s="18">
        <v>1</v>
      </c>
      <c r="B20" s="19" t="s">
        <v>20</v>
      </c>
      <c r="C20" s="12"/>
      <c r="D20" s="16"/>
      <c r="E20" s="17"/>
      <c r="F20" s="16"/>
      <c r="G20" s="16"/>
      <c r="H20" s="16"/>
      <c r="I20" s="6"/>
    </row>
    <row r="21" spans="1:9" ht="15" customHeight="1" x14ac:dyDescent="0.25">
      <c r="A21" s="18">
        <v>2</v>
      </c>
      <c r="B21" s="20" t="s">
        <v>21</v>
      </c>
      <c r="C21" s="12"/>
      <c r="D21" s="16"/>
      <c r="E21" s="17"/>
      <c r="F21" s="16"/>
      <c r="G21" s="16"/>
      <c r="H21" s="16"/>
      <c r="I21" s="6"/>
    </row>
    <row r="22" spans="1:9" ht="15" customHeight="1" x14ac:dyDescent="0.25">
      <c r="A22" s="18">
        <v>3</v>
      </c>
      <c r="B22" s="19" t="s">
        <v>22</v>
      </c>
      <c r="C22" s="14"/>
      <c r="D22" s="16"/>
      <c r="E22" s="17"/>
      <c r="F22" s="21"/>
      <c r="G22" s="21"/>
      <c r="H22" s="16"/>
      <c r="I22" s="6"/>
    </row>
    <row r="23" spans="1:9" ht="15" customHeight="1" x14ac:dyDescent="0.25">
      <c r="A23" s="18">
        <v>4</v>
      </c>
      <c r="B23" s="20" t="s">
        <v>23</v>
      </c>
      <c r="C23" s="14"/>
      <c r="D23" s="16"/>
      <c r="E23" s="17"/>
      <c r="F23" s="16"/>
      <c r="G23" s="16"/>
      <c r="H23" s="16"/>
      <c r="I23" s="6"/>
    </row>
    <row r="24" spans="1:9" ht="15" customHeight="1" x14ac:dyDescent="0.25">
      <c r="A24" s="18">
        <v>5</v>
      </c>
      <c r="B24" s="19" t="s">
        <v>24</v>
      </c>
      <c r="C24" s="14"/>
      <c r="D24" s="16"/>
      <c r="E24" s="17"/>
      <c r="F24" s="16"/>
      <c r="G24" s="16"/>
      <c r="H24" s="16"/>
      <c r="I24" s="6"/>
    </row>
    <row r="25" spans="1:9" ht="15" customHeight="1" x14ac:dyDescent="0.25">
      <c r="A25" s="18"/>
      <c r="B25" s="19" t="s">
        <v>25</v>
      </c>
      <c r="C25" s="14"/>
      <c r="D25" s="16"/>
      <c r="E25" s="17"/>
      <c r="F25" s="16"/>
      <c r="G25" s="16"/>
      <c r="H25" s="16"/>
      <c r="I25" s="6"/>
    </row>
    <row r="26" spans="1:9" ht="15" customHeight="1" x14ac:dyDescent="0.25">
      <c r="A26" s="18"/>
      <c r="B26" s="19" t="s">
        <v>26</v>
      </c>
      <c r="C26" s="14"/>
      <c r="D26" s="16"/>
      <c r="E26" s="17"/>
      <c r="F26" s="16"/>
      <c r="G26" s="16"/>
      <c r="H26" s="16"/>
      <c r="I26" s="6"/>
    </row>
    <row r="27" spans="1:9" ht="15" customHeight="1" x14ac:dyDescent="0.25">
      <c r="A27" s="18"/>
      <c r="B27" s="19" t="s">
        <v>27</v>
      </c>
      <c r="C27" s="14"/>
      <c r="D27" s="16"/>
      <c r="E27" s="17"/>
      <c r="F27" s="16"/>
      <c r="G27" s="16"/>
      <c r="H27" s="16"/>
      <c r="I27" s="6"/>
    </row>
    <row r="28" spans="1:9" ht="15" customHeight="1" x14ac:dyDescent="0.25">
      <c r="A28" s="18">
        <v>6</v>
      </c>
      <c r="B28" s="20" t="s">
        <v>28</v>
      </c>
      <c r="C28" s="14"/>
      <c r="D28" s="16"/>
      <c r="E28" s="17"/>
      <c r="F28" s="16"/>
      <c r="G28" s="16"/>
      <c r="H28" s="16"/>
      <c r="I28" s="6"/>
    </row>
    <row r="29" spans="1:9" ht="15" customHeight="1" x14ac:dyDescent="0.25">
      <c r="A29" s="22"/>
      <c r="B29" s="23" t="s">
        <v>29</v>
      </c>
      <c r="C29" s="14"/>
      <c r="D29" s="16"/>
      <c r="E29" s="17"/>
      <c r="F29" s="16"/>
      <c r="G29" s="16"/>
      <c r="H29" s="16"/>
      <c r="I29" s="6"/>
    </row>
    <row r="30" spans="1:9" ht="15" customHeight="1" x14ac:dyDescent="0.25">
      <c r="A30" s="18"/>
      <c r="B30" s="23" t="s">
        <v>30</v>
      </c>
      <c r="C30" s="14"/>
      <c r="D30" s="16"/>
      <c r="E30" s="17"/>
      <c r="F30" s="16"/>
      <c r="G30" s="16"/>
      <c r="H30" s="16"/>
      <c r="I30" s="6"/>
    </row>
    <row r="31" spans="1:9" ht="6.75" customHeight="1" x14ac:dyDescent="0.25">
      <c r="A31" s="22"/>
      <c r="B31" s="20"/>
      <c r="C31" s="14"/>
      <c r="D31" s="16"/>
      <c r="E31" s="17"/>
      <c r="F31" s="16"/>
      <c r="G31" s="16"/>
      <c r="H31" s="16"/>
      <c r="I31" s="6"/>
    </row>
    <row r="32" spans="1:9" ht="5.25" customHeight="1" x14ac:dyDescent="0.25">
      <c r="A32" s="18"/>
      <c r="B32" s="20"/>
      <c r="C32" s="14"/>
      <c r="D32" s="16"/>
      <c r="E32" s="17"/>
      <c r="F32" s="16"/>
      <c r="G32" s="16"/>
      <c r="H32" s="16"/>
      <c r="I32" s="6"/>
    </row>
    <row r="33" spans="1:9" ht="15" hidden="1" customHeight="1" x14ac:dyDescent="0.25">
      <c r="A33" s="18"/>
      <c r="B33" s="23"/>
      <c r="C33" s="14"/>
      <c r="D33" s="16"/>
      <c r="E33" s="17"/>
      <c r="F33" s="16"/>
      <c r="G33" s="16"/>
      <c r="H33" s="16"/>
      <c r="I33" s="6"/>
    </row>
    <row r="34" spans="1:9" ht="15" hidden="1" customHeight="1" x14ac:dyDescent="0.25">
      <c r="A34" s="14"/>
      <c r="B34" s="23"/>
      <c r="C34" s="14"/>
      <c r="D34" s="16"/>
      <c r="E34" s="17"/>
      <c r="F34" s="16"/>
      <c r="G34" s="16"/>
      <c r="H34" s="16"/>
      <c r="I34" s="6"/>
    </row>
    <row r="35" spans="1:9" ht="15" hidden="1" customHeight="1" x14ac:dyDescent="0.25">
      <c r="A35" s="14"/>
      <c r="B35" s="23"/>
      <c r="C35" s="14"/>
      <c r="D35" s="16"/>
      <c r="E35" s="17"/>
      <c r="F35" s="16"/>
      <c r="G35" s="16"/>
      <c r="H35" s="16"/>
      <c r="I35" s="6"/>
    </row>
    <row r="36" spans="1:9" ht="15" hidden="1" customHeight="1" x14ac:dyDescent="0.25">
      <c r="A36" s="14"/>
      <c r="B36" s="23"/>
      <c r="C36" s="14"/>
      <c r="D36" s="16"/>
      <c r="E36" s="17"/>
      <c r="F36" s="16"/>
      <c r="G36" s="16"/>
      <c r="H36" s="16"/>
      <c r="I36" s="6"/>
    </row>
    <row r="37" spans="1:9" ht="1.5" customHeight="1" x14ac:dyDescent="0.25">
      <c r="A37" s="12"/>
      <c r="B37" s="24"/>
      <c r="C37" s="12"/>
      <c r="D37" s="1"/>
      <c r="E37" s="1"/>
      <c r="F37" s="1"/>
      <c r="G37" s="1"/>
      <c r="H37" s="25"/>
      <c r="I37" s="6"/>
    </row>
    <row r="38" spans="1:9" ht="15" customHeight="1" x14ac:dyDescent="0.25">
      <c r="A38" s="26" t="s">
        <v>31</v>
      </c>
      <c r="B38" s="26"/>
      <c r="C38" s="12"/>
      <c r="D38" s="12"/>
      <c r="E38" s="27"/>
      <c r="F38" s="27"/>
      <c r="G38" s="27"/>
      <c r="H38" s="1" t="s">
        <v>32</v>
      </c>
      <c r="I38" s="1"/>
    </row>
    <row r="39" spans="1:9" ht="54" customHeight="1" x14ac:dyDescent="0.25">
      <c r="A39" s="12"/>
      <c r="B39" s="12"/>
      <c r="C39" s="26"/>
      <c r="D39" s="12"/>
      <c r="E39" s="16"/>
      <c r="F39" s="28"/>
      <c r="G39" s="16"/>
      <c r="H39" s="29"/>
      <c r="I39" s="6"/>
    </row>
    <row r="40" spans="1:9" ht="15" hidden="1" customHeight="1" x14ac:dyDescent="0.25">
      <c r="A40" s="12"/>
      <c r="B40" s="12"/>
      <c r="C40" s="26"/>
      <c r="D40" s="12"/>
      <c r="E40" s="16"/>
      <c r="F40" s="28"/>
      <c r="G40" s="16"/>
      <c r="H40" s="29"/>
      <c r="I40" s="6"/>
    </row>
    <row r="41" spans="1:9" ht="15" hidden="1" customHeight="1" x14ac:dyDescent="0.25">
      <c r="A41" s="12"/>
      <c r="B41" s="12"/>
      <c r="C41" s="12"/>
      <c r="D41" s="12"/>
      <c r="E41" s="30"/>
      <c r="F41" s="25"/>
      <c r="G41" s="25"/>
      <c r="H41" s="30"/>
      <c r="I41" s="6"/>
    </row>
    <row r="42" spans="1:9" ht="15" hidden="1" customHeight="1" x14ac:dyDescent="0.25">
      <c r="A42" s="31"/>
      <c r="B42" s="31"/>
      <c r="C42" s="32"/>
      <c r="D42" s="31"/>
      <c r="E42" s="31"/>
      <c r="F42" s="31"/>
      <c r="G42" s="31"/>
      <c r="H42" s="33"/>
      <c r="I42" s="6"/>
    </row>
    <row r="43" spans="1:9" ht="15" customHeight="1" x14ac:dyDescent="0.25">
      <c r="A43" s="34" t="s">
        <v>33</v>
      </c>
      <c r="B43" s="34"/>
      <c r="C43" s="31"/>
      <c r="D43" s="31"/>
      <c r="E43" s="31"/>
      <c r="F43" s="35"/>
      <c r="G43" s="35"/>
      <c r="H43" s="33"/>
      <c r="I43" s="6"/>
    </row>
    <row r="44" spans="1:9" ht="15" customHeight="1" x14ac:dyDescent="0.25">
      <c r="A44" s="12"/>
      <c r="B44" s="12"/>
      <c r="C44" s="12"/>
      <c r="D44" s="12"/>
      <c r="E44" s="30"/>
      <c r="F44" s="28"/>
      <c r="G44" s="30"/>
      <c r="H44" s="30"/>
      <c r="I44" s="6"/>
    </row>
    <row r="45" spans="1:9" ht="15" customHeight="1" x14ac:dyDescent="0.25">
      <c r="A45" s="31" t="s">
        <v>34</v>
      </c>
      <c r="B45" s="31"/>
      <c r="C45" s="12"/>
      <c r="D45" s="12"/>
      <c r="E45" s="30"/>
      <c r="F45" s="28"/>
      <c r="G45" s="30"/>
      <c r="H45" s="30"/>
      <c r="I45" s="6"/>
    </row>
    <row r="46" spans="1:9" ht="15" customHeight="1" x14ac:dyDescent="0.25">
      <c r="A46" s="36" t="s">
        <v>35</v>
      </c>
      <c r="B46" s="36"/>
      <c r="C46" s="26"/>
      <c r="D46" s="12"/>
      <c r="E46" s="30"/>
      <c r="F46" s="28"/>
      <c r="G46" s="30"/>
      <c r="H46" s="30"/>
      <c r="I46" s="6"/>
    </row>
    <row r="47" spans="1:9" ht="15" customHeight="1" x14ac:dyDescent="0.25">
      <c r="A47" s="37" t="s">
        <v>36</v>
      </c>
      <c r="B47" s="37"/>
      <c r="C47" s="26"/>
      <c r="D47" s="12"/>
      <c r="E47" s="30"/>
      <c r="F47" s="28"/>
      <c r="G47" s="30"/>
      <c r="H47" s="30"/>
      <c r="I47" s="6"/>
    </row>
  </sheetData>
  <mergeCells count="7">
    <mergeCell ref="D37:G37"/>
    <mergeCell ref="H38:I38"/>
    <mergeCell ref="A1:I5"/>
    <mergeCell ref="G7:H7"/>
    <mergeCell ref="A10:I10"/>
    <mergeCell ref="B14:C14"/>
    <mergeCell ref="A17:F17"/>
  </mergeCells>
  <hyperlinks>
    <hyperlink ref="A47" r:id="rId1" xr:uid="{00000000-0004-0000-0000-000000000000}"/>
  </hyperlinks>
  <pageMargins left="0.25" right="0.25" top="0.25" bottom="0.25" header="0.511811023622047" footer="0.511811023622047"/>
  <pageSetup scale="90" orientation="portrait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BaoGia</vt:lpstr>
      <vt:lpstr>BaoGia!Print_Area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2051120086 - Nguyễn Võ Đình Anh - CN20A</cp:lastModifiedBy>
  <cp:revision>0</cp:revision>
  <cp:lastPrinted>2026-10-18T20:39:19Z</cp:lastPrinted>
  <dcterms:created xsi:type="dcterms:W3CDTF">2026-04-26T10:52:29Z</dcterms:created>
  <dcterms:modified xsi:type="dcterms:W3CDTF">2026-10-18T20:40:05Z</dcterms:modified>
  <dc:language>en-US</dc:language>
</cp:coreProperties>
</file>