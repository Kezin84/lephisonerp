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F4C6825-0605-499B-872D-DF85EAF73495}" xr6:coauthVersionLast="47" xr6:coauthVersionMax="47" xr10:uidLastSave="{00000000-0000-0000-0000-000000000000}"/>
  <bookViews>
    <workbookView xWindow="28680" yWindow="-900" windowWidth="29040" windowHeight="15720" xr2:uid="{81B14AA9-4207-4074-8318-77E158745A94}"/>
  </bookViews>
  <sheets>
    <sheet name="PTSC" sheetId="1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NR1">#REF!</definedName>
    <definedName name="_SR1">#REF!</definedName>
    <definedName name="COTHH">[1]HANGHOA!$B$1:$W$1</definedName>
    <definedName name="HH">[1]HANGHOA!$B$1:$W$254</definedName>
    <definedName name="MAHH">[1]HANGHOA!$B$1:$B$73</definedName>
    <definedName name="NR">#REF!</definedName>
    <definedName name="_xlnm.Print_Area" localSheetId="0">PTSC!$A$1:$R$39</definedName>
    <definedName name="S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" i="1" l="1"/>
  <c r="O12" i="1" s="1"/>
  <c r="M12" i="1"/>
  <c r="Q12" i="1" s="1"/>
  <c r="R12" i="1" s="1"/>
  <c r="N11" i="1"/>
  <c r="O11" i="1" s="1"/>
  <c r="M11" i="1"/>
  <c r="M13" i="1" s="1"/>
  <c r="Q11" i="1" l="1"/>
  <c r="Q13" i="1"/>
  <c r="R11" i="1"/>
  <c r="R13" i="1" s="1"/>
  <c r="O13" i="1"/>
</calcChain>
</file>

<file path=xl/sharedStrings.xml><?xml version="1.0" encoding="utf-8"?>
<sst xmlns="http://schemas.openxmlformats.org/spreadsheetml/2006/main" count="52" uniqueCount="48">
  <si>
    <r>
      <t xml:space="preserve">Kính gởi: </t>
    </r>
    <r>
      <rPr>
        <b/>
        <sz val="11"/>
        <color rgb="FF000000"/>
        <rFont val="Arial"/>
        <family val="2"/>
      </rPr>
      <t>CHI NHÁNH TỔNG CÔNG TY CỔ PHẦN DỊCH VỤ KỸ THUẬT DẦU KHÍ VIỆT NAM – BAN DỰ ÁN NHIỆT ĐIỆN LONG PHÚ</t>
    </r>
  </si>
  <si>
    <t>Phòng:</t>
  </si>
  <si>
    <t xml:space="preserve">Người nhận: Mr </t>
  </si>
  <si>
    <t>Địa chỉ: ấp Thạnh Đức, Xã Đại Ngãi, TP Cần Thơ, Việt Nam</t>
  </si>
  <si>
    <t>Ngày: 09/03/2026</t>
  </si>
  <si>
    <t>Công ty Nam Trường Sơn trân trọng gởi đến Quý khách hàng bảng báo giá như sau:</t>
  </si>
  <si>
    <t>STT</t>
  </si>
  <si>
    <t>Model</t>
  </si>
  <si>
    <t>Tên hàng hóa</t>
  </si>
  <si>
    <t>Diễn giải</t>
  </si>
  <si>
    <t>Quy cách</t>
  </si>
  <si>
    <t>Mã hiệu</t>
  </si>
  <si>
    <t xml:space="preserve">Nhà sản xuất </t>
  </si>
  <si>
    <t>Xuất xứ</t>
  </si>
  <si>
    <t>Đvt</t>
  </si>
  <si>
    <t>Số lượng</t>
  </si>
  <si>
    <t>Đơn giá (VNĐ)</t>
  </si>
  <si>
    <t>Thành tiền trước thuế</t>
  </si>
  <si>
    <t>TL Thuế</t>
  </si>
  <si>
    <t>Thuế VAT</t>
  </si>
  <si>
    <t>Thành tiền sau thuế</t>
  </si>
  <si>
    <t xml:space="preserve">I. Hệ thống bảo mật </t>
  </si>
  <si>
    <t xml:space="preserve">TỔNG CỘNG + THUẾ </t>
  </si>
  <si>
    <t>1. Thuế VAT: Giá trên đã bao gồm thuế GTGT;</t>
  </si>
  <si>
    <t>2. Bảng giá nêu trên bao gồm phí cài đặt. Bảo hành: 01 năm</t>
  </si>
  <si>
    <t>3. Giao hàng: trong vòng 01-02 tuần kể từ ngày ký xác nhận đặt hàng.</t>
  </si>
  <si>
    <t>4. Phương thức thanh toán: Thanh toán bằng tiền mặt / chuyển khoản .</t>
  </si>
  <si>
    <t xml:space="preserve"> - Đặt hàng 30% và thanh toán 70% giá trị còn lại HĐ trong vòng 10 ngày sau khi giao hàng và hóa đơn tài chính.</t>
  </si>
  <si>
    <t>5. TÀI KHOẢN NGÂN HÀNG:</t>
  </si>
  <si>
    <t xml:space="preserve">Đơn vị thụ hưởng:  CÔNG TY CP TÍCH HỢP HỆ THỐNG NAM TRƯỜNG SƠN </t>
  </si>
  <si>
    <t>STK 1 (Bank A/C): 199458149 tại NH TMCP Á Châu - CN Phan Đăng Lưu - P. GD Lê Quang Định</t>
  </si>
  <si>
    <r>
      <t>6. Bảng giá có giá trị trong vòng</t>
    </r>
    <r>
      <rPr>
        <b/>
        <sz val="10"/>
        <color indexed="8"/>
        <rFont val="Arial"/>
        <family val="2"/>
      </rPr>
      <t xml:space="preserve"> 30 ngày</t>
    </r>
    <r>
      <rPr>
        <sz val="10"/>
        <color indexed="8"/>
        <rFont val="Arial"/>
        <family val="2"/>
      </rPr>
      <t xml:space="preserve"> kể từ ngày báo giá.</t>
    </r>
  </si>
  <si>
    <t xml:space="preserve">- Đơn đặt hàng chỉ được tiến hành sau khi Bên Mua Hàng đồng ý với các điều khoản nêu trên bằng cách </t>
  </si>
  <si>
    <t xml:space="preserve">  kí và đóng dấu vào Xác nhận đơn hàng này và gởi lại cho Bên Bán hàng</t>
  </si>
  <si>
    <t>Le Phi Son - Phó Giám Đốc -  090 813 7488</t>
  </si>
  <si>
    <t>Xác nhận đặt hàng</t>
  </si>
  <si>
    <r>
      <t xml:space="preserve"> </t>
    </r>
    <r>
      <rPr>
        <b/>
        <sz val="9.5"/>
        <color indexed="30"/>
        <rFont val="Arial"/>
        <family val="2"/>
      </rPr>
      <t>NTS System Integration Corp.</t>
    </r>
  </si>
  <si>
    <t xml:space="preserve"> Add: 20 Tang Bat Ho Street, Ward 11, Binh Thanh District, Ho Chi Minh City, VN</t>
  </si>
  <si>
    <t xml:space="preserve"> T:  (028) 3841 8080 | F:  (028) 3841 5555 | E: info@ntssi.vn | W: www.ntssi.vn </t>
  </si>
  <si>
    <t>Tel:  +848 3841 8080 - Fax: +848 3841 5555</t>
  </si>
  <si>
    <t>XGS 3100</t>
  </si>
  <si>
    <t>Sophos XGS 3100 Hardware Appliance:
XGS 3100 HW Appliance with 8 GE + 2 SFP + 2 SFP+ ports, 1 expansion bay for optional Flexi Port module, SSD + Base License (incl. FW, VPN &amp; Wireless) for unlimited users + power cable.</t>
  </si>
  <si>
    <t>Sophos</t>
  </si>
  <si>
    <t>Cái</t>
  </si>
  <si>
    <t>License 1Y (NET + Enhanced Support)</t>
  </si>
  <si>
    <t xml:space="preserve">Phần mềm hỗ trợ tường lửa Sophos 1 year XGS 3100
License 1Y Network Protection
License 1Y Enhanced Support
</t>
  </si>
  <si>
    <t>License 1Y Network Protection XGS XGS 3100
License 1Y Enhanced Support XGS XGS 3100</t>
  </si>
  <si>
    <t>Bản quyền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</si>
</sst>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30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0"/>
      <color theme="3" tint="-0.249977111117893"/>
      <name val="Arial"/>
      <family val="2"/>
    </font>
    <font>
      <sz val="10"/>
      <color indexed="8"/>
      <name val="Times New Roman"/>
      <family val="1"/>
    </font>
    <font>
      <b/>
      <sz val="9"/>
      <color theme="3"/>
      <name val="Arial"/>
      <family val="2"/>
    </font>
    <font>
      <b/>
      <sz val="10"/>
      <color theme="3"/>
      <name val="Arial"/>
      <family val="2"/>
    </font>
    <font>
      <sz val="11"/>
      <color indexed="8"/>
      <name val="Arial"/>
      <family val="2"/>
    </font>
    <font>
      <b/>
      <sz val="11"/>
      <color rgb="FF000000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0"/>
      <color rgb="FF0000FF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b/>
      <sz val="10"/>
      <color rgb="FFFF0000"/>
      <name val="Arial"/>
      <family val="2"/>
    </font>
    <font>
      <b/>
      <u/>
      <sz val="10"/>
      <color indexed="8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0000CC"/>
      <name val="Arial"/>
      <family val="2"/>
    </font>
    <font>
      <b/>
      <u/>
      <sz val="11"/>
      <name val="Arial"/>
      <family val="2"/>
    </font>
    <font>
      <b/>
      <sz val="9.5"/>
      <color indexed="30"/>
      <name val="Arial"/>
      <family val="2"/>
    </font>
    <font>
      <sz val="9.5"/>
      <color rgb="FF0070C0"/>
      <name val="Arial"/>
      <family val="2"/>
    </font>
    <font>
      <u/>
      <sz val="11"/>
      <color theme="10"/>
      <name val="Calibri"/>
      <family val="2"/>
      <charset val="163"/>
      <scheme val="minor"/>
    </font>
    <font>
      <u/>
      <sz val="11"/>
      <color theme="10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3" fillId="0" borderId="0"/>
    <xf numFmtId="0" fontId="1" fillId="0" borderId="0"/>
  </cellStyleXfs>
  <cellXfs count="66">
    <xf numFmtId="0" fontId="0" fillId="0" borderId="0" xfId="0"/>
    <xf numFmtId="3" fontId="3" fillId="0" borderId="0" xfId="0" applyNumberFormat="1" applyFont="1" applyAlignment="1">
      <alignment wrapText="1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3" fontId="5" fillId="0" borderId="0" xfId="0" applyNumberFormat="1" applyFont="1" applyAlignment="1">
      <alignment vertical="center" wrapText="1"/>
    </xf>
    <xf numFmtId="3" fontId="6" fillId="0" borderId="0" xfId="0" applyNumberFormat="1" applyFont="1" applyAlignment="1">
      <alignment vertical="center" wrapText="1"/>
    </xf>
    <xf numFmtId="3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top"/>
    </xf>
    <xf numFmtId="0" fontId="9" fillId="0" borderId="0" xfId="0" applyFont="1" applyAlignment="1">
      <alignment horizontal="right" vertical="center"/>
    </xf>
    <xf numFmtId="3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top"/>
    </xf>
    <xf numFmtId="3" fontId="10" fillId="0" borderId="0" xfId="0" applyNumberFormat="1" applyFont="1" applyAlignment="1">
      <alignment vertical="center"/>
    </xf>
    <xf numFmtId="164" fontId="12" fillId="0" borderId="0" xfId="0" applyNumberFormat="1" applyFont="1" applyAlignment="1">
      <alignment horizontal="center" vertical="top"/>
    </xf>
    <xf numFmtId="0" fontId="10" fillId="0" borderId="0" xfId="0" applyFont="1" applyAlignment="1">
      <alignment vertical="center"/>
    </xf>
    <xf numFmtId="0" fontId="14" fillId="2" borderId="1" xfId="4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3" borderId="1" xfId="5" applyFont="1" applyFill="1" applyBorder="1" applyAlignment="1" applyProtection="1">
      <alignment vertical="center"/>
      <protection locked="0" hidden="1"/>
    </xf>
    <xf numFmtId="0" fontId="14" fillId="3" borderId="1" xfId="4" applyFont="1" applyFill="1" applyBorder="1" applyAlignment="1">
      <alignment horizontal="center" vertical="center" wrapText="1"/>
    </xf>
    <xf numFmtId="0" fontId="13" fillId="0" borderId="1" xfId="1" applyNumberFormat="1" applyFont="1" applyFill="1" applyBorder="1" applyAlignment="1">
      <alignment vertical="center" wrapText="1"/>
    </xf>
    <xf numFmtId="0" fontId="13" fillId="0" borderId="1" xfId="4" applyBorder="1" applyAlignment="1">
      <alignment horizontal="left" vertical="center" wrapText="1"/>
    </xf>
    <xf numFmtId="165" fontId="13" fillId="0" borderId="1" xfId="1" applyNumberFormat="1" applyFont="1" applyFill="1" applyBorder="1" applyAlignment="1">
      <alignment vertical="center" wrapText="1"/>
    </xf>
    <xf numFmtId="165" fontId="13" fillId="0" borderId="1" xfId="1" applyNumberFormat="1" applyFont="1" applyBorder="1" applyAlignment="1">
      <alignment horizontal="left" vertical="center" wrapText="1"/>
    </xf>
    <xf numFmtId="9" fontId="13" fillId="0" borderId="1" xfId="2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3" fontId="17" fillId="2" borderId="1" xfId="0" applyNumberFormat="1" applyFont="1" applyFill="1" applyBorder="1" applyAlignment="1">
      <alignment vertical="center" wrapText="1"/>
    </xf>
    <xf numFmtId="165" fontId="14" fillId="2" borderId="1" xfId="2" applyNumberFormat="1" applyFont="1" applyFill="1" applyBorder="1" applyAlignment="1">
      <alignment horizontal="center" vertical="center" wrapText="1"/>
    </xf>
    <xf numFmtId="4" fontId="17" fillId="0" borderId="0" xfId="0" applyNumberFormat="1" applyFont="1" applyAlignment="1">
      <alignment horizontal="center" vertical="top"/>
    </xf>
    <xf numFmtId="3" fontId="12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top"/>
    </xf>
    <xf numFmtId="3" fontId="18" fillId="0" borderId="0" xfId="0" applyNumberFormat="1" applyFont="1" applyAlignment="1">
      <alignment horizontal="center" vertical="top"/>
    </xf>
    <xf numFmtId="3" fontId="12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center" vertical="top"/>
    </xf>
    <xf numFmtId="165" fontId="10" fillId="0" borderId="0" xfId="0" applyNumberFormat="1" applyFont="1" applyAlignment="1">
      <alignment vertical="center"/>
    </xf>
    <xf numFmtId="43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horizontal="left" vertical="center"/>
    </xf>
    <xf numFmtId="3" fontId="10" fillId="0" borderId="0" xfId="0" applyNumberFormat="1" applyFont="1"/>
    <xf numFmtId="3" fontId="12" fillId="0" borderId="0" xfId="0" quotePrefix="1" applyNumberFormat="1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3" fontId="12" fillId="0" borderId="0" xfId="0" applyNumberFormat="1" applyFont="1" applyAlignment="1">
      <alignment horizontal="left"/>
    </xf>
    <xf numFmtId="3" fontId="12" fillId="4" borderId="0" xfId="0" quotePrefix="1" applyNumberFormat="1" applyFont="1" applyFill="1" applyAlignment="1">
      <alignment vertical="center"/>
    </xf>
    <xf numFmtId="3" fontId="12" fillId="4" borderId="0" xfId="0" applyNumberFormat="1" applyFont="1" applyFill="1" applyAlignment="1">
      <alignment vertical="center"/>
    </xf>
    <xf numFmtId="3" fontId="12" fillId="0" borderId="0" xfId="0" applyNumberFormat="1" applyFont="1" applyAlignment="1">
      <alignment vertical="center"/>
    </xf>
    <xf numFmtId="164" fontId="19" fillId="0" borderId="0" xfId="0" applyNumberFormat="1" applyFont="1" applyAlignment="1">
      <alignment horizontal="center" vertical="top"/>
    </xf>
    <xf numFmtId="164" fontId="20" fillId="0" borderId="0" xfId="0" applyNumberFormat="1" applyFont="1" applyAlignment="1">
      <alignment horizontal="center" vertical="top"/>
    </xf>
    <xf numFmtId="3" fontId="10" fillId="0" borderId="0" xfId="0" applyNumberFormat="1" applyFont="1" applyAlignment="1">
      <alignment vertical="top"/>
    </xf>
    <xf numFmtId="164" fontId="10" fillId="0" borderId="0" xfId="0" applyNumberFormat="1" applyFont="1" applyAlignment="1">
      <alignment vertical="top"/>
    </xf>
    <xf numFmtId="164" fontId="21" fillId="0" borderId="0" xfId="0" applyNumberFormat="1" applyFont="1" applyAlignment="1">
      <alignment vertical="top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8" fillId="0" borderId="0" xfId="3" applyFont="1" applyAlignment="1" applyProtection="1">
      <alignment vertical="center"/>
    </xf>
    <xf numFmtId="0" fontId="13" fillId="0" borderId="0" xfId="0" applyFont="1"/>
    <xf numFmtId="0" fontId="29" fillId="0" borderId="0" xfId="0" applyFont="1" applyAlignment="1">
      <alignment vertical="center"/>
    </xf>
    <xf numFmtId="3" fontId="17" fillId="2" borderId="2" xfId="0" applyNumberFormat="1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 wrapText="1"/>
    </xf>
    <xf numFmtId="3" fontId="17" fillId="2" borderId="4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horizontal="center" vertical="top"/>
    </xf>
    <xf numFmtId="164" fontId="19" fillId="0" borderId="0" xfId="0" applyNumberFormat="1" applyFont="1" applyAlignment="1">
      <alignment horizontal="center" vertical="top"/>
    </xf>
  </cellXfs>
  <cellStyles count="6">
    <cellStyle name="Comma" xfId="1" builtinId="3"/>
    <cellStyle name="Hyperlink" xfId="3" builtinId="8"/>
    <cellStyle name="Normal" xfId="0" builtinId="0"/>
    <cellStyle name="Normal 18" xfId="4" xr:uid="{72551C16-D8A1-4A97-8CFC-881213422DEF}"/>
    <cellStyle name="Normal 19" xfId="5" xr:uid="{7F062E42-DA20-4B0B-943C-CFE8E2098E1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96515</xdr:colOff>
      <xdr:row>0</xdr:row>
      <xdr:rowOff>16329</xdr:rowOff>
    </xdr:from>
    <xdr:to>
      <xdr:col>16</xdr:col>
      <xdr:colOff>10886</xdr:colOff>
      <xdr:row>0</xdr:row>
      <xdr:rowOff>927225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319405-3C5A-4F1B-9ACA-1BEF0D64F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15" y="16329"/>
          <a:ext cx="7599685" cy="910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ing\Khach%20hang\PTSC%20Soc%20Trang\2026\XGS%203100%20Thu&#234;%203Y.xlsx" TargetMode="External"/><Relationship Id="rId1" Type="http://schemas.openxmlformats.org/officeDocument/2006/relationships/externalLinkPath" Target="file:///D:\Working\Khach%20hang\PTSC%20Soc%20Trang\2026\XGS%203100%20Thu&#234;%203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TSC ST (2)"/>
      <sheetName val="PTSC ST3100"/>
      <sheetName val="HANGHOA"/>
      <sheetName val="PTSC"/>
      <sheetName val="PTSC (2)"/>
      <sheetName val="Hung Tri 3Y"/>
      <sheetName val="Hoang Tam"/>
      <sheetName val="Hoang Tam 3Y"/>
      <sheetName val="PTSC ST"/>
      <sheetName val="Vietnam"/>
      <sheetName val="Phòng Server (NTC)"/>
      <sheetName val="XGS 2300 Dung"/>
      <sheetName val="XGS 2300"/>
      <sheetName val="TRA CU"/>
      <sheetName val="Mirotik"/>
      <sheetName val="XGS2100"/>
      <sheetName val="CNG - UPS 8h tem 5% - Phong"/>
      <sheetName val="NCC"/>
    </sheetNames>
    <sheetDataSet>
      <sheetData sheetId="0"/>
      <sheetData sheetId="1"/>
      <sheetData sheetId="2">
        <row r="1">
          <cell r="B1" t="str">
            <v>MAHH</v>
          </cell>
          <cell r="C1" t="str">
            <v>Model</v>
          </cell>
          <cell r="D1" t="str">
            <v>Tên hàng hóa</v>
          </cell>
          <cell r="E1" t="str">
            <v>Diễn giải</v>
          </cell>
          <cell r="F1" t="str">
            <v>TL Thuế</v>
          </cell>
          <cell r="G1" t="str">
            <v>Quy cách</v>
          </cell>
          <cell r="H1" t="str">
            <v>Mã hiệu</v>
          </cell>
          <cell r="I1" t="str">
            <v xml:space="preserve">Nhà sản xuất </v>
          </cell>
          <cell r="J1" t="str">
            <v>Xuất xứ</v>
          </cell>
          <cell r="K1" t="str">
            <v>Đvt</v>
          </cell>
          <cell r="L1" t="str">
            <v>Số lượng</v>
          </cell>
          <cell r="M1" t="str">
            <v>Đơn giá USD</v>
          </cell>
          <cell r="N1" t="str">
            <v>GIÁ VỐN</v>
          </cell>
          <cell r="O1" t="str">
            <v>TỶ LỆ</v>
          </cell>
          <cell r="P1" t="str">
            <v>Đơn giá (VNĐ)</v>
          </cell>
          <cell r="Q1" t="str">
            <v>GIÁ DV</v>
          </cell>
          <cell r="R1" t="str">
            <v>Ghi Chú</v>
          </cell>
          <cell r="S1" t="str">
            <v>TOTAL VỐN</v>
          </cell>
          <cell r="T1" t="str">
            <v>TOTAL BÁN</v>
          </cell>
          <cell r="U1" t="str">
            <v>% COM</v>
          </cell>
          <cell r="V1" t="str">
            <v>com</v>
          </cell>
          <cell r="W1" t="str">
            <v>NET</v>
          </cell>
        </row>
        <row r="2">
          <cell r="B2" t="str">
            <v>TC1</v>
          </cell>
          <cell r="C2" t="str">
            <v>XGS 2300</v>
          </cell>
          <cell r="D2" t="str">
            <v>Thiết bị tường lửa Sophos XGS 2300 Security Appliance - EU/UK power cord</v>
          </cell>
          <cell r="E2" t="str">
            <v>XGS 2300 HW Appliance with 8 GE + 2 SFP ports, 1 expansion bay for optional Flexi Port module, SSD + Base License (incl. FW, VPN &amp; Wireless) for unlimited users + power cable
- Base License: Networking, Wireless, Xstream Architecture, Unlimited Remote Access VPN, Site-to-Site VPN, reporting
+ Firewall throughput: 39,000 Mbps
+ Firewall IMIX: 20,000 Mbps
+ IPS throughput: 7,000 Mbps
+ Threat protection throughput: 5,500 Mbps
+ NGFW: 6,300 Mbps
+ Concurrent connections: 6,500,000
+ New connections/sec: 148,000
+ IPsec VPN throughput: 20,500 Mbps
+ SSL VPN concurrent tunnels: 2,500
+ Xstream SSL/TLS concurrent connections:18,432</v>
          </cell>
          <cell r="F2">
            <v>0.08</v>
          </cell>
          <cell r="I2" t="str">
            <v>Sophos</v>
          </cell>
          <cell r="K2" t="str">
            <v>Cái</v>
          </cell>
          <cell r="L2">
            <v>1</v>
          </cell>
          <cell r="N2">
            <v>0</v>
          </cell>
          <cell r="P2">
            <v>95305805</v>
          </cell>
          <cell r="W2">
            <v>0</v>
          </cell>
        </row>
        <row r="3">
          <cell r="B3" t="str">
            <v>TC2</v>
          </cell>
          <cell r="C3" t="str">
            <v>Xstream Protection  1y</v>
          </cell>
          <cell r="D3" t="str">
            <v>Phần mềm hỗ trợ tường lửa Sophos 1 year XGS 2300 Xstream Protection</v>
          </cell>
          <cell r="E3" t="str">
            <v>Xstream Protection 1 năm bao gồm các tính năng:
- Network Protection: Xstream TLS and DPI engine, IPS, ATP, Security Heartbeat, SD-RED VPN, reporting
- Web Protection: Xstream TLS and DPI engine, Web Security and Control, Application Control, reporting
- Zero-day protection: Machine Learning, Sandboxing File Analysis, Threat Intelligence.
- DNS Protection: Cloud-based DNS service for web security and compliance
- Central Orchestration: SD-WAN VPN Orchestration, CFR Advanced.
- Enhanced Support: 24/7 support, feature updates, advanced replacement hardware warranty for term</v>
          </cell>
          <cell r="F3">
            <v>0</v>
          </cell>
          <cell r="I3" t="str">
            <v>Sophos</v>
          </cell>
          <cell r="J3" t="e">
            <v>#REF!</v>
          </cell>
          <cell r="K3" t="str">
            <v>Bản quyền</v>
          </cell>
          <cell r="L3">
            <v>1</v>
          </cell>
          <cell r="P3">
            <v>94383450</v>
          </cell>
        </row>
        <row r="4">
          <cell r="B4" t="str">
            <v>TC3</v>
          </cell>
          <cell r="C4" t="str">
            <v>Xstream Protection  3y</v>
          </cell>
          <cell r="D4" t="str">
            <v>Phần mềm hỗ trợ tường lửa Sophos 3 year XGS 2300 Xstream Protection</v>
          </cell>
          <cell r="E4" t="str">
            <v>3-Year Xstream Protection Subscription for XGS 2300: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v>
          </cell>
          <cell r="F4">
            <v>0</v>
          </cell>
          <cell r="I4" t="str">
            <v>Sophos</v>
          </cell>
          <cell r="J4" t="e">
            <v>#REF!</v>
          </cell>
          <cell r="K4" t="str">
            <v>Bản quyền</v>
          </cell>
          <cell r="L4">
            <v>1</v>
          </cell>
          <cell r="N4">
            <v>0</v>
          </cell>
        </row>
        <row r="5">
          <cell r="B5" t="str">
            <v>TC4</v>
          </cell>
          <cell r="C5" t="str">
            <v>XSAZTCHF4</v>
          </cell>
          <cell r="D5" t="str">
            <v>4 port 10 GE SFP+ Flexi Port module (for all XGS Rackmount models)</v>
          </cell>
          <cell r="E5" t="str">
            <v>4 port 10 GE SFP+ Flexi Port module (for all XGS Rackmount models)</v>
          </cell>
          <cell r="F5">
            <v>0.08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Cái</v>
          </cell>
          <cell r="L5">
            <v>1</v>
          </cell>
          <cell r="N5">
            <v>0</v>
          </cell>
          <cell r="P5">
            <v>32181345</v>
          </cell>
        </row>
        <row r="6">
          <cell r="B6" t="str">
            <v>TC5</v>
          </cell>
          <cell r="C6" t="str">
            <v xml:space="preserve">SFP-10G-MM-D </v>
          </cell>
          <cell r="D6" t="str">
            <v>Module quang Handar 10G 850nm 300m Dual LC</v>
          </cell>
          <cell r="E6" t="str">
            <v>Module quang Handar 10G 850nm 300m Dual LC</v>
          </cell>
          <cell r="F6">
            <v>0.08</v>
          </cell>
          <cell r="H6" t="str">
            <v>VN</v>
          </cell>
          <cell r="I6" t="str">
            <v>VN</v>
          </cell>
          <cell r="K6" t="str">
            <v>Cái</v>
          </cell>
          <cell r="L6">
            <v>10</v>
          </cell>
          <cell r="N6">
            <v>0</v>
          </cell>
          <cell r="P6">
            <v>460000</v>
          </cell>
        </row>
        <row r="7">
          <cell r="B7" t="str">
            <v>TC6</v>
          </cell>
          <cell r="C7" t="str">
            <v xml:space="preserve">SFP-10G-10KM </v>
          </cell>
          <cell r="D7" t="str">
            <v>Module quang Handar 10G 1310nm 10km Dual LC</v>
          </cell>
          <cell r="E7" t="str">
            <v>Module quang Handar 10G 1310nm 10km Dual LC</v>
          </cell>
          <cell r="F7">
            <v>0.08</v>
          </cell>
          <cell r="H7" t="str">
            <v>VN</v>
          </cell>
          <cell r="I7" t="str">
            <v>VN</v>
          </cell>
          <cell r="K7" t="str">
            <v>Cái</v>
          </cell>
          <cell r="L7">
            <v>14</v>
          </cell>
          <cell r="N7">
            <v>0</v>
          </cell>
          <cell r="P7">
            <v>800000</v>
          </cell>
        </row>
        <row r="8">
          <cell r="B8" t="str">
            <v>TC7</v>
          </cell>
          <cell r="C8" t="str">
            <v>Multimode Pathcord LC-LC 3m</v>
          </cell>
          <cell r="D8" t="str">
            <v>Multimode Pathcord LC-LC 3m</v>
          </cell>
          <cell r="E8" t="str">
            <v>Multimode Pathcord LC-LC 3m</v>
          </cell>
          <cell r="F8">
            <v>0.08</v>
          </cell>
          <cell r="H8" t="str">
            <v>ATFlor</v>
          </cell>
          <cell r="I8" t="str">
            <v>ATFlor</v>
          </cell>
          <cell r="K8" t="str">
            <v>Cái</v>
          </cell>
          <cell r="L8">
            <v>10</v>
          </cell>
          <cell r="P8">
            <v>400000</v>
          </cell>
        </row>
        <row r="9">
          <cell r="B9" t="str">
            <v>TC8</v>
          </cell>
          <cell r="C9" t="str">
            <v>Singalmode Pathcore LC-LC 5m</v>
          </cell>
          <cell r="D9" t="str">
            <v>Singalmode Pathcore LC-LC 5m</v>
          </cell>
          <cell r="E9" t="str">
            <v>Singalmode Pathcore LC-LC 5m</v>
          </cell>
          <cell r="F9">
            <v>0.08</v>
          </cell>
          <cell r="H9" t="str">
            <v>ATFlor</v>
          </cell>
          <cell r="I9" t="str">
            <v>ATFlor</v>
          </cell>
          <cell r="K9" t="str">
            <v>Cái</v>
          </cell>
          <cell r="L9">
            <v>14</v>
          </cell>
          <cell r="N9">
            <v>0</v>
          </cell>
          <cell r="P9">
            <v>400000</v>
          </cell>
          <cell r="W9">
            <v>0</v>
          </cell>
        </row>
        <row r="10">
          <cell r="B10" t="str">
            <v>TC9</v>
          </cell>
          <cell r="C10" t="str">
            <v>XSM4328FV</v>
          </cell>
          <cell r="D10" t="str">
            <v>M4350-24F4V (XSM4328FV) — 24 x 10G SFP+ and 4 x SFP28 25G Layer 3 Managed Switch: 
. CPU/RAM/FLASH: Quad-Core Cortex-A57 ARMv8 1.8Ghz 64-bit/2GB RAM/512MB NAND 8-bit ECC
. 1-port 1G Out-of-band RJ45 + 24 x 1G/10G SFP+ và 4 x 1G/10G/25G SFP28
. Stacking: Có hỗ trợ, chỉ stack với các model cùng dòng M4350
. Bandwidth/Throughput: 680 Gbps/505.92 Mpps
. MAC/ARP Table/IP Multicast Routing Entries/IGMP: 16K/4K/512 IPv4, 256 IPv6/2K IPv4, 2K IPv6
. VLAN/ACLs/Packet Buffer/Jumbo Frames: 4K/100/32Mb/Up to 12K packet size
. Application Route Scaling: Static: 256 v4/64 v6, RIP: 512v4
. Layer-3: IPv4/IPv6 Static Routing, IPv4: RIP; IPv4/IPv6: PIM-SM, PIM-DM, SSM
. Audio, video và lighting profiles: AVB, Dante, Q-SYS, AES67, NVX, AMX, Q-SYS, NDI 4, NDI 5, ZeeVee, Aurora Multimedia, Kramer, Atlona, LibAV, Visionary, SDVoE, ...
. Power supply: 1 x Fixed 240W Internal PSU (C14) On/Off switch, 1 x slot modular PSU
. Modular PSU (không đi kèm): APS350W, APS600Wv2, APS920W hoặc APS2000W
. Form Factor: Rack 1U</v>
          </cell>
          <cell r="E10" t="str">
            <v>M4350-24F4V (XSM4328FV) — 24 x 10G SFP+ and 4 x SFP28 25G Layer 3 Managed Switch: 
. CPU/RAM/FLASH: Quad-Core Cortex-A57 ARMv8 1.8Ghz 64-bit/2GB RAM/512MB NAND 8-bit ECC
. 1-port 1G Out-of-band RJ45 + 24 x 1G/10G SFP+ và 4 x 1G/10G/25G SFP28
. Stacking: Có hỗ trợ, chỉ stack với các model cùng dòng M4350
. Bandwidth/Throughput: 680 Gbps/505.92 Mpps
. MAC/ARP Table/IP Multicast Routing Entries/IGMP: 16K/4K/512 IPv4, 256 IPv6/2K IPv4, 2K IPv6
. VLAN/ACLs/Packet Buffer/Jumbo Frames: 4K/100/32Mb/Up to 12K packet size
. Application Route Scaling: Static: 256 v4/64 v6, RIP: 512v4
. Layer-3: IPv4/IPv6 Static Routing, IPv4: RIP; IPv4/IPv6: PIM-SM, PIM-DM, SSM
. Audio, video và lighting profiles: AVB, Dante, Q-SYS, AES67, NVX, AMX, Q-SYS, NDI 4, NDI 5, ZeeVee, Aurora Multimedia, Kramer, Atlona, LibAV, Visionary, SDVoE, ...
. Power supply: 1 x Fixed 240W Internal PSU (C14) On/Off switch, 1 x slot modular PSU
. Modular PSU (không đi kèm): APS350W, APS600Wv2, APS920W hoặc APS2000W
. Form Factor: Rack 1U</v>
          </cell>
          <cell r="F10">
            <v>0.08</v>
          </cell>
          <cell r="H10" t="str">
            <v>Cadivi</v>
          </cell>
          <cell r="I10" t="str">
            <v>CADIVI</v>
          </cell>
          <cell r="J10" t="str">
            <v>VN</v>
          </cell>
          <cell r="K10" t="str">
            <v>Cái</v>
          </cell>
          <cell r="L10">
            <v>1</v>
          </cell>
          <cell r="P10">
            <v>126354000</v>
          </cell>
        </row>
        <row r="11">
          <cell r="B11" t="str">
            <v>TC10</v>
          </cell>
          <cell r="C11" t="str">
            <v>GS752TX</v>
          </cell>
          <cell r="D11" t="str">
            <v>GS752TX — 48-Port Gigabit Ethernet Smart Switch with 4 10G SFP+ Ports and optional Remote/Cloud Management:
. Management: GUI (HTTP/HTTPS); Lite CLI; RMON, SNMP; Insight Cloud
. CPU/RAM/FLASH: 800MHz ARM A55 Single core /512MB DDR RAM /64MB Flash
. 48 x 10/100/1G RJ45 + 4 x 1G/10G SFP+
. Bandwidth/Forwarding: 176 Gbps/130.94 Mpps</v>
          </cell>
          <cell r="E11" t="str">
            <v>GS752TX — 48-Port Gigabit Ethernet Smart Switch with 4 10G SFP+ Ports and optional Remote/Cloud Management:
. Management: GUI (HTTP/HTTPS); Lite CLI; RMON, SNMP; Insight Cloud
. CPU/RAM/FLASH: 800MHz ARM A55 Single core /512MB DDR RAM /64MB Flash
. 48 x 10/100/1G RJ45 + 4 x 1G/10G SFP+
. Bandwidth/Forwarding: 176 Gbps/130.94 Mpps</v>
          </cell>
          <cell r="F11">
            <v>0.08</v>
          </cell>
          <cell r="K11" t="str">
            <v>Cái</v>
          </cell>
          <cell r="L11">
            <v>2</v>
          </cell>
          <cell r="P11">
            <v>24323000</v>
          </cell>
        </row>
        <row r="12">
          <cell r="B12" t="str">
            <v>TC11</v>
          </cell>
          <cell r="C12" t="str">
            <v>GS728TX</v>
          </cell>
          <cell r="D12" t="str">
            <v>GS728TX — 24-Port Gigabit Ethernet Smart Switch with 4 10G SFP+ Ports and optional Remote/Cloud Management:
. Management: GUI (HTTP/HTTPS); Lite CLI; RMON, SNMP; Insight Cloud
. CPU/RAM/FLASH: 800MHz ARM A55 Single core /512MB DDR RAM /64MB Flash
. 24 x 10/100/1G RJ45 + 4 x 1G/10G SFP+
. Bandwidth/Forwarding: 128 Gbps/95.24 Mpps</v>
          </cell>
          <cell r="E12" t="str">
            <v>GS728TX — 24-Port Gigabit Ethernet Smart Switch with 4 10G SFP+ Ports and optional Remote/Cloud Management:
. Management: GUI (HTTP/HTTPS); Lite CLI; RMON, SNMP; Insight Cloud
. CPU/RAM/FLASH: 800MHz ARM A55 Single core /512MB DDR RAM /64MB Flash
. 24 x 10/100/1G RJ45 + 4 x 1G/10G SFP+
. Bandwidth/Forwarding: 128 Gbps/95.24 Mpps</v>
          </cell>
          <cell r="F12">
            <v>0.08</v>
          </cell>
          <cell r="K12" t="str">
            <v>Cái</v>
          </cell>
          <cell r="L12">
            <v>6</v>
          </cell>
          <cell r="P12">
            <v>13709000</v>
          </cell>
        </row>
        <row r="13">
          <cell r="B13" t="str">
            <v>TC13</v>
          </cell>
          <cell r="C13" t="str">
            <v xml:space="preserve">XV2-21X0A00-RW </v>
          </cell>
          <cell r="D13" t="str">
            <v xml:space="preserve">Bộ thu phát wifi Cambium XV2-21X Indoor Dual radio WiFi 6 AP, 2x2, GbE, RW. Chịu tải 256 users (không bao gồm PoE Injector) </v>
          </cell>
          <cell r="E13" t="str">
            <v xml:space="preserve">Bộ thu phát wifi Cambium XV2-21X Indoor Dual radio WiFi 6 AP, 2x2, GbE, RW. Chịu tải 256 users (không bao gồm PoE Injector) </v>
          </cell>
          <cell r="F13">
            <v>0.08</v>
          </cell>
          <cell r="K13" t="str">
            <v>Cái</v>
          </cell>
          <cell r="L13">
            <v>22</v>
          </cell>
          <cell r="P13">
            <v>6000000</v>
          </cell>
        </row>
        <row r="14">
          <cell r="B14" t="str">
            <v>TC14</v>
          </cell>
          <cell r="C14" t="str">
            <v>POE-IN-30W</v>
          </cell>
          <cell r="D14" t="str">
            <v>POE injector (10/100/1000Mbps) chuẩn 802.3af/at</v>
          </cell>
          <cell r="E14" t="str">
            <v>POE injector (10/100/1000Mbps) chuẩn 802.3af/at</v>
          </cell>
          <cell r="F14">
            <v>0.08</v>
          </cell>
          <cell r="K14" t="str">
            <v>Cái</v>
          </cell>
          <cell r="L14">
            <v>22</v>
          </cell>
          <cell r="P14">
            <v>375000</v>
          </cell>
        </row>
        <row r="15">
          <cell r="B15" t="str">
            <v>TC15</v>
          </cell>
          <cell r="C15" t="str">
            <v>Service</v>
          </cell>
          <cell r="D15" t="str">
            <v>Gói thi công lắp đặt, cấu hình và tối ưu an toàn hệ thống công nghệ thông tin</v>
          </cell>
          <cell r="E15" t="str">
            <v>Gói thi công lắp đặt, cấu hình và tối ưu an toàn hệ thống công nghệ thông tin:
- Cài đặt và cấu hình hệ thống tường lửa
- Lắp đặt và cấu hình hệ thống mạng nội bộ
- Lắp đặt và cấu hình hệ thống mạng Wifi
- Hướng dẫn và chuyển giao hệ thống</v>
          </cell>
          <cell r="F15">
            <v>0.08</v>
          </cell>
          <cell r="K15" t="str">
            <v>Gói</v>
          </cell>
          <cell r="L15">
            <v>1</v>
          </cell>
          <cell r="P15">
            <v>60000000</v>
          </cell>
        </row>
        <row r="16">
          <cell r="B16" t="str">
            <v>TC16</v>
          </cell>
          <cell r="C16" t="str">
            <v>Hệ thống Access Control</v>
          </cell>
          <cell r="F16">
            <v>0.08</v>
          </cell>
          <cell r="K16">
            <v>0</v>
          </cell>
          <cell r="L16">
            <v>0</v>
          </cell>
          <cell r="N16">
            <v>0</v>
          </cell>
        </row>
        <row r="17">
          <cell r="B17" t="str">
            <v>TC17</v>
          </cell>
          <cell r="D17" t="str">
            <v>Bộ điều khiển đóng mở cửa bằng vân tay, thẻ từ.</v>
          </cell>
          <cell r="E17" t="str">
            <v>Bộ điều khiển đóng mở cửa bằng vân tay, thẻ từ.
• 1.000 thẻ, Password
• Kết nối với exit, khóa, remote để mở cửa
• Thời gian đọc thẻ  &lt; 1 giây chính xác
• Máy đọc thẻ cảm ứng 125 Khz
• Tích hợp kiểm soát cửa ra vào Access control</v>
          </cell>
          <cell r="F17">
            <v>0.08</v>
          </cell>
          <cell r="K17" t="str">
            <v>Bộ</v>
          </cell>
          <cell r="L17">
            <v>1</v>
          </cell>
          <cell r="N17">
            <v>10090000</v>
          </cell>
          <cell r="O17">
            <v>0.4</v>
          </cell>
          <cell r="P17">
            <v>14130000</v>
          </cell>
        </row>
        <row r="18">
          <cell r="B18" t="str">
            <v>TC18</v>
          </cell>
          <cell r="D18" t="str">
            <v>Nhân công lắp đặt hệ thống</v>
          </cell>
          <cell r="E18" t="str">
            <v>Nhân công lắp đặt và cáp tín hiệu, cáp điện…</v>
          </cell>
          <cell r="F18">
            <v>0.08</v>
          </cell>
          <cell r="K18" t="str">
            <v>lần</v>
          </cell>
          <cell r="L18">
            <v>1</v>
          </cell>
          <cell r="N18">
            <v>4500000</v>
          </cell>
          <cell r="O18">
            <v>0.4</v>
          </cell>
          <cell r="P18">
            <v>6300000</v>
          </cell>
        </row>
        <row r="19">
          <cell r="B19" t="str">
            <v>TC19</v>
          </cell>
          <cell r="D19" t="str">
            <v>Bộ giám sát nhiệt độ, độ ẩm.</v>
          </cell>
          <cell r="E19" t="str">
            <v>Bộ giám sát nhiệt độ, độ ẩm.</v>
          </cell>
          <cell r="F19">
            <v>0.08</v>
          </cell>
          <cell r="K19">
            <v>0</v>
          </cell>
          <cell r="L19">
            <v>0</v>
          </cell>
          <cell r="N19">
            <v>0</v>
          </cell>
          <cell r="O19">
            <v>0.4</v>
          </cell>
          <cell r="P19">
            <v>0</v>
          </cell>
        </row>
        <row r="20">
          <cell r="B20" t="str">
            <v>TC20</v>
          </cell>
          <cell r="D20" t="str">
            <v>Bộ giám sát nhiệt độ, độ ẩm</v>
          </cell>
          <cell r="E20" t="str">
            <v>Bộ giám sát nhiệt độ, độ ẩm. Giám sát thông qua tín hiệu wifi.
Cảm biến độ chính xác cao từ hãng SENSIRION Thụy Sĩ
- Dải đo nhiệt độ từ -20°C đên 60°C (±0.3°C)
- Dải đo độ ẩm từ 10% đên 90% (±3%RH)
- Độ phân giải 0.1°C và 1%RH</v>
          </cell>
          <cell r="F20">
            <v>0.08</v>
          </cell>
          <cell r="K20" t="str">
            <v>Bộ</v>
          </cell>
          <cell r="L20">
            <v>1</v>
          </cell>
          <cell r="N20">
            <v>19000000</v>
          </cell>
          <cell r="O20">
            <v>0.4</v>
          </cell>
          <cell r="P20">
            <v>26600000</v>
          </cell>
        </row>
        <row r="21">
          <cell r="B21" t="str">
            <v>TC21</v>
          </cell>
          <cell r="D21" t="str">
            <v>Chi phí triển khai lắp đặt, cấu hình</v>
          </cell>
          <cell r="E21" t="str">
            <v>Chi phí triển khai lắp đặt, cấu hình</v>
          </cell>
          <cell r="F21">
            <v>0.08</v>
          </cell>
          <cell r="K21" t="str">
            <v>gói</v>
          </cell>
          <cell r="L21">
            <v>1</v>
          </cell>
          <cell r="N21">
            <v>2500000</v>
          </cell>
          <cell r="O21">
            <v>0.4</v>
          </cell>
          <cell r="P21">
            <v>3500000</v>
          </cell>
        </row>
        <row r="22">
          <cell r="B22" t="str">
            <v>TC22</v>
          </cell>
          <cell r="D22" t="str">
            <v>Hệ thống chữa cháy FM200  - Đặt hàng 4~6 tuần.</v>
          </cell>
          <cell r="E22" t="str">
            <v>Hệ thống chữa cháy FM200  - Đặt hàng 4~6 tuần.</v>
          </cell>
          <cell r="F22">
            <v>0.08</v>
          </cell>
          <cell r="K22">
            <v>0</v>
          </cell>
          <cell r="L22">
            <v>0</v>
          </cell>
          <cell r="N22">
            <v>0</v>
          </cell>
          <cell r="O22">
            <v>0.4</v>
          </cell>
          <cell r="P22">
            <v>0</v>
          </cell>
        </row>
        <row r="23">
          <cell r="B23" t="str">
            <v>TC23</v>
          </cell>
          <cell r="D23" t="str">
            <v xml:space="preserve">Bình chữa cháy tự động </v>
          </cell>
          <cell r="E23" t="str">
            <v>Bình chữa cháy tự động bằng khí HFC-227ea (FM-200), SMS-227-15L  dải nạp 7kg - 15kg. Được nạp 13.0kg HFC-227ea (FM-200)</v>
          </cell>
          <cell r="F23">
            <v>0.08</v>
          </cell>
          <cell r="K23" t="str">
            <v>Bình</v>
          </cell>
          <cell r="L23">
            <v>1</v>
          </cell>
          <cell r="N23">
            <v>37000000</v>
          </cell>
          <cell r="O23">
            <v>0.4</v>
          </cell>
          <cell r="P23">
            <v>51800000</v>
          </cell>
        </row>
        <row r="24">
          <cell r="B24" t="str">
            <v>TC24</v>
          </cell>
          <cell r="D24" t="str">
            <v>Chi phí lắp đặt, cấu hình hệ thống</v>
          </cell>
          <cell r="E24" t="str">
            <v>Chi phí lắp đặt, cấu hình hệ thống</v>
          </cell>
          <cell r="F24">
            <v>0.08</v>
          </cell>
          <cell r="K24" t="str">
            <v>Gói</v>
          </cell>
          <cell r="L24">
            <v>1</v>
          </cell>
          <cell r="N24">
            <v>8000000</v>
          </cell>
          <cell r="O24">
            <v>0.4</v>
          </cell>
          <cell r="P24">
            <v>11200000</v>
          </cell>
        </row>
        <row r="25">
          <cell r="B25" t="str">
            <v>TC25</v>
          </cell>
          <cell r="D25" t="str">
            <v>Hệ Tủ Điện</v>
          </cell>
          <cell r="E25" t="str">
            <v>Hệ Tủ Điện</v>
          </cell>
          <cell r="F25">
            <v>0.08</v>
          </cell>
          <cell r="K25">
            <v>0</v>
          </cell>
          <cell r="L25">
            <v>0</v>
          </cell>
          <cell r="N25">
            <v>0</v>
          </cell>
          <cell r="O25">
            <v>0.4</v>
          </cell>
          <cell r="P25">
            <v>0</v>
          </cell>
        </row>
        <row r="26">
          <cell r="B26" t="str">
            <v>TC26</v>
          </cell>
          <cell r="D26" t="str">
            <v>Tủ điện 8 đường, 32A</v>
          </cell>
          <cell r="E26" t="str">
            <v>Tủ điện 8 đường, 32A</v>
          </cell>
          <cell r="F26">
            <v>0.08</v>
          </cell>
          <cell r="K26" t="str">
            <v>Tủ</v>
          </cell>
          <cell r="L26">
            <v>1</v>
          </cell>
          <cell r="N26">
            <v>4500000</v>
          </cell>
          <cell r="O26">
            <v>0.4</v>
          </cell>
          <cell r="P26">
            <v>6300000</v>
          </cell>
        </row>
        <row r="27">
          <cell r="B27" t="str">
            <v>TC27</v>
          </cell>
          <cell r="D27" t="str">
            <v xml:space="preserve">Nhân công lắp đặt tủ điện </v>
          </cell>
          <cell r="E27" t="str">
            <v>Nhân công lắp đặt tủ điện (Bao gồm cáp kết nối)</v>
          </cell>
          <cell r="F27">
            <v>0.08</v>
          </cell>
          <cell r="K27" t="str">
            <v>Lần</v>
          </cell>
          <cell r="L27">
            <v>1</v>
          </cell>
          <cell r="N27">
            <v>1800000</v>
          </cell>
          <cell r="O27">
            <v>0.4</v>
          </cell>
          <cell r="P27">
            <v>2520000</v>
          </cell>
        </row>
        <row r="28">
          <cell r="B28" t="str">
            <v>TC28</v>
          </cell>
          <cell r="D28" t="str">
            <v>Chi phí khác</v>
          </cell>
          <cell r="E28" t="str">
            <v>Chi phí khác</v>
          </cell>
          <cell r="F28">
            <v>0.08</v>
          </cell>
          <cell r="I28" t="str">
            <v>APC</v>
          </cell>
          <cell r="K28">
            <v>0</v>
          </cell>
          <cell r="L28">
            <v>0</v>
          </cell>
          <cell r="N28">
            <v>0</v>
          </cell>
          <cell r="O28">
            <v>0.28000000000000003</v>
          </cell>
          <cell r="P28">
            <v>0</v>
          </cell>
        </row>
        <row r="29">
          <cell r="B29" t="str">
            <v>TC29</v>
          </cell>
          <cell r="D29" t="str">
            <v>Chi phí đi lại, vận chuyển thiết bị…</v>
          </cell>
          <cell r="E29" t="str">
            <v>Chi phí đi lại, vận chuyển thiết bị…</v>
          </cell>
          <cell r="F29">
            <v>0.08</v>
          </cell>
          <cell r="I29" t="str">
            <v>APC</v>
          </cell>
          <cell r="K29" t="str">
            <v>Gói</v>
          </cell>
          <cell r="L29">
            <v>1</v>
          </cell>
          <cell r="N29">
            <v>5000000</v>
          </cell>
          <cell r="O29">
            <v>0.28000000000000003</v>
          </cell>
          <cell r="P29">
            <v>6400000</v>
          </cell>
        </row>
        <row r="30">
          <cell r="B30" t="str">
            <v>TC30</v>
          </cell>
          <cell r="D30" t="str">
            <v>Nhân công làm gọn, đánh dấu cáp mạng trong tủ Rack phòng máy chủ</v>
          </cell>
          <cell r="E30" t="str">
            <v>Nhân công làm gọn, đánh dấu cáp mạng trong tủ Rack phòng máy chủ</v>
          </cell>
          <cell r="F30">
            <v>0.08</v>
          </cell>
          <cell r="I30" t="str">
            <v>APC</v>
          </cell>
          <cell r="K30" t="str">
            <v>lần</v>
          </cell>
          <cell r="L30">
            <v>1</v>
          </cell>
          <cell r="N30">
            <v>2200000</v>
          </cell>
          <cell r="O30">
            <v>0.28000000000000003</v>
          </cell>
          <cell r="P30">
            <v>2820000</v>
          </cell>
        </row>
        <row r="31">
          <cell r="B31" t="str">
            <v>TC31</v>
          </cell>
          <cell r="C31" t="str">
            <v>Service 2</v>
          </cell>
          <cell r="D31" t="str">
            <v>Thi công phòng máy chủ</v>
          </cell>
          <cell r="E31" t="str">
            <v>Thi công phòng máy chủ:
 - Hệ thống Access Control
 - Bộ giám sát nhiệt độ, độ ẩm.
 - Hệ thống chữa cháy FM200
 - Hệ Tủ Điện
 - Chi phí đi lại, vận chuyển thiết bị
 - Nhân công làm gọn, đánh dấu cáp mạng trong tủ Rack phòng máy chủ</v>
          </cell>
          <cell r="F31">
            <v>0.08</v>
          </cell>
          <cell r="K31" t="str">
            <v>Gói</v>
          </cell>
          <cell r="L31">
            <v>1</v>
          </cell>
          <cell r="N31">
            <v>24000000</v>
          </cell>
          <cell r="O31">
            <v>0.3</v>
          </cell>
          <cell r="P31">
            <v>30000000</v>
          </cell>
        </row>
        <row r="32">
          <cell r="B32" t="str">
            <v>TC32</v>
          </cell>
          <cell r="C32" t="str">
            <v>License 3Y (NET + Enhanced Support)</v>
          </cell>
          <cell r="D32" t="str">
            <v xml:space="preserve">Phần mềm hỗ trợ tường lửa Sophos 3 year XGS 2300
License 3Y Network Protection
License 3Y Enhanced Support
</v>
          </cell>
          <cell r="E32" t="str">
            <v>License 3Y Network Protection
License 3Y Enhanced Support</v>
          </cell>
          <cell r="F32">
            <v>0</v>
          </cell>
          <cell r="I32" t="str">
            <v>Sophos</v>
          </cell>
          <cell r="J32" t="e">
            <v>#REF!</v>
          </cell>
          <cell r="K32" t="str">
            <v>Bản quyền</v>
          </cell>
          <cell r="L32">
            <v>1</v>
          </cell>
          <cell r="N32">
            <v>0</v>
          </cell>
          <cell r="P32">
            <v>104477990.40000001</v>
          </cell>
          <cell r="R32" t="str">
            <v>giá LP 1Y 43532496</v>
          </cell>
        </row>
        <row r="33">
          <cell r="B33" t="str">
            <v>TC33</v>
          </cell>
          <cell r="C33" t="str">
            <v>License 1Y (NET + Enhanced Support)</v>
          </cell>
          <cell r="D33" t="str">
            <v xml:space="preserve">Phần mềm hỗ trợ tường lửa Sophos 1 year XGS 2300
License 1Y Network Protection
License 1Y Enhanced Support
</v>
          </cell>
          <cell r="E33" t="str">
            <v>License 1Y Network Protection
License 1Y Enhanced Support</v>
          </cell>
          <cell r="F33">
            <v>0</v>
          </cell>
          <cell r="I33" t="str">
            <v>Sophos</v>
          </cell>
          <cell r="J33" t="e">
            <v>#REF!</v>
          </cell>
          <cell r="K33" t="str">
            <v>Bản quyền</v>
          </cell>
          <cell r="L33">
            <v>1</v>
          </cell>
          <cell r="N33">
            <v>0</v>
          </cell>
          <cell r="P33">
            <v>39179246.399999999</v>
          </cell>
        </row>
        <row r="34">
          <cell r="B34" t="str">
            <v>TC34</v>
          </cell>
          <cell r="C34" t="str">
            <v>XGS 138</v>
          </cell>
          <cell r="D34" t="str">
            <v>Sophos XGS 138 Hardware Appliance:
XGS 138 HW Appliance with 4 GE + 2x 2.5GE + 2 SFP+ ports, 1 expansion bay for optional 5G module, SSD + Base License (incl. FW, VPN, and Wireless) for unlimited users + power cable</v>
          </cell>
          <cell r="E34" t="str">
            <v>Sophos XGS 138 Hardware Appliance:
XGS 138 HW Appliance with 4 GE + 2x 2.5GE + 2 SFP+ ports, 1 expansion bay for optional 5G module, SSD + Base License (incl. FW, VPN, and Wireless) for unlimited users + power cable</v>
          </cell>
          <cell r="F34">
            <v>0.08</v>
          </cell>
          <cell r="I34" t="str">
            <v>Sophos</v>
          </cell>
          <cell r="K34" t="str">
            <v>Cái</v>
          </cell>
          <cell r="L34">
            <v>1</v>
          </cell>
          <cell r="N34">
            <v>0</v>
          </cell>
          <cell r="P34">
            <v>44487835</v>
          </cell>
          <cell r="W34">
            <v>0</v>
          </cell>
        </row>
        <row r="35">
          <cell r="B35" t="str">
            <v>TC35</v>
          </cell>
          <cell r="C35" t="str">
            <v>License 1Y (NET + Enhanced Support)</v>
          </cell>
          <cell r="D35" t="str">
            <v xml:space="preserve">Phần mềm hỗ trợ tường lửa Sophos 1 year XGS 138
License 1Y Network Protection
License 1Y Enhanced Support
</v>
          </cell>
          <cell r="E35" t="str">
            <v>License 1Y Network Protection XGS 138
License 1Y Enhanced Support XGS 138</v>
          </cell>
          <cell r="F35">
            <v>0</v>
          </cell>
          <cell r="I35" t="str">
            <v>Sophos</v>
          </cell>
          <cell r="J35" t="e">
            <v>#REF!</v>
          </cell>
          <cell r="K35" t="str">
            <v>Bản quyền</v>
          </cell>
          <cell r="L35">
            <v>1</v>
          </cell>
          <cell r="N35">
            <v>0</v>
          </cell>
          <cell r="P35">
            <v>14386982.4</v>
          </cell>
        </row>
        <row r="36">
          <cell r="B36" t="str">
            <v>TC36</v>
          </cell>
          <cell r="C36" t="str">
            <v>License 3Y (NET + Enhanced Support)</v>
          </cell>
          <cell r="D36" t="str">
            <v xml:space="preserve">Phần mềm hỗ trợ tường lửa Sophos 3 year XGS 138
License 3Y Network Protection
License 3Y Enhanced Support
</v>
          </cell>
          <cell r="E36" t="str">
            <v>License 3Y Network Protection XGS 138
License 3Y Enhanced Support XGS 138</v>
          </cell>
          <cell r="F36">
            <v>0</v>
          </cell>
          <cell r="I36" t="str">
            <v>Sophos</v>
          </cell>
          <cell r="J36" t="e">
            <v>#REF!</v>
          </cell>
          <cell r="K36" t="str">
            <v>Bản quyền</v>
          </cell>
          <cell r="L36">
            <v>1</v>
          </cell>
          <cell r="N36">
            <v>0</v>
          </cell>
          <cell r="P36">
            <v>40763116.799999997</v>
          </cell>
        </row>
        <row r="37">
          <cell r="B37" t="str">
            <v>TC37</v>
          </cell>
          <cell r="C37" t="str">
            <v>XGS 2100</v>
          </cell>
          <cell r="D37" t="str">
            <v>Sophos XGS 2100 Hardware Appliance:
XGS 2100 HW Appliance with 8 GE + 2 SFP ports, 1 expansion bay for optional Flexi Port module, SSD + Base License (incl. FW, VPN &amp; Wireless) for unlimited users + power cable.</v>
          </cell>
          <cell r="E37" t="str">
            <v>Sophos XGS 2100 Hardware Appliance:
XGS 2100 HW Appliance with 8 GE + 2 SFP ports, 1 expansion bay for optional Flexi Port module, SSD + Base License (incl. FW, VPN &amp; Wireless) for unlimited users + power cable.</v>
          </cell>
          <cell r="F37">
            <v>0.08</v>
          </cell>
          <cell r="I37" t="str">
            <v>Sophos</v>
          </cell>
          <cell r="K37" t="str">
            <v>Cái</v>
          </cell>
          <cell r="L37">
            <v>1</v>
          </cell>
          <cell r="N37">
            <v>0</v>
          </cell>
          <cell r="P37">
            <v>67498830</v>
          </cell>
          <cell r="W37">
            <v>0</v>
          </cell>
        </row>
        <row r="38">
          <cell r="B38" t="str">
            <v>TC38</v>
          </cell>
          <cell r="C38" t="str">
            <v>License 1Y (NET + Enhanced Support)</v>
          </cell>
          <cell r="D38" t="str">
            <v xml:space="preserve">Phần mềm hỗ trợ tường lửa Sophos 1 year XGS 2100
License 1Y Network Protection
License 1Y Enhanced Support
</v>
          </cell>
          <cell r="E38" t="str">
            <v>License 1Y Network Protection XGS 2100
License 1Y Enhanced Support XGS 2100</v>
          </cell>
          <cell r="F38">
            <v>0</v>
          </cell>
          <cell r="I38" t="str">
            <v>Sophos</v>
          </cell>
          <cell r="J38" t="e">
            <v>#REF!</v>
          </cell>
          <cell r="K38" t="str">
            <v>Bản quyền</v>
          </cell>
          <cell r="L38">
            <v>1</v>
          </cell>
          <cell r="N38">
            <v>0</v>
          </cell>
          <cell r="P38">
            <v>27889142.400000002</v>
          </cell>
        </row>
        <row r="39">
          <cell r="B39" t="str">
            <v>TC39</v>
          </cell>
          <cell r="C39" t="str">
            <v>License 3Y (NET + Enhanced Support)</v>
          </cell>
          <cell r="D39" t="str">
            <v xml:space="preserve">Phần mềm hỗ trợ tường lửa Sophos 3 year XGS 2100
License 3Y Network Protection
License 3Y Enhanced Support
</v>
          </cell>
          <cell r="E39" t="str">
            <v>License 3Y Network Protection XGS 2100
License 3Y Enhanced Support XGS 2100</v>
          </cell>
          <cell r="F39">
            <v>0</v>
          </cell>
          <cell r="I39" t="str">
            <v>Sophos</v>
          </cell>
          <cell r="J39" t="e">
            <v>#REF!</v>
          </cell>
          <cell r="K39" t="str">
            <v>Bản quyền</v>
          </cell>
          <cell r="L39">
            <v>1</v>
          </cell>
          <cell r="N39">
            <v>0</v>
          </cell>
          <cell r="P39">
            <v>79019236.799999997</v>
          </cell>
        </row>
        <row r="40">
          <cell r="B40" t="str">
            <v>TC40</v>
          </cell>
          <cell r="C40" t="str">
            <v>XGS 3100</v>
          </cell>
          <cell r="D40" t="str">
            <v>Sophos XGS 3100 Hardware Appliance:
XGS 3100 HW Appliance with 8 GE + 2 SFP + 2 SFP+ ports, 1 expansion bay for optional Flexi Port module, SSD + Base License (incl. FW, VPN &amp; Wireless) for unlimited users + power cable.</v>
          </cell>
          <cell r="E40" t="str">
            <v>Sophos XGS 3100 Hardware Appliance:
XGS 3100 HW Appliance with 8 GE + 2 SFP + 2 SFP+ ports, 1 expansion bay for optional Flexi Port module, SSD + Base License (incl. FW, VPN &amp; Wireless) for unlimited users + power cable.</v>
          </cell>
          <cell r="F40">
            <v>0.08</v>
          </cell>
          <cell r="I40" t="str">
            <v>Sophos</v>
          </cell>
          <cell r="K40" t="str">
            <v>Cái</v>
          </cell>
          <cell r="L40">
            <v>1</v>
          </cell>
          <cell r="N40">
            <v>0</v>
          </cell>
          <cell r="P40">
            <v>125259400</v>
          </cell>
          <cell r="W40">
            <v>0</v>
          </cell>
        </row>
        <row r="41">
          <cell r="B41" t="str">
            <v>TC41</v>
          </cell>
          <cell r="C41" t="str">
            <v>License 1Y (NET + Enhanced Support)</v>
          </cell>
          <cell r="D41" t="str">
            <v xml:space="preserve">Phần mềm hỗ trợ tường lửa Sophos 1 year XGS 3100
License 1Y Network Protection
License 1Y Enhanced Support
</v>
          </cell>
          <cell r="E41" t="str">
            <v>License 1Y Network Protection XGS XGS 3100
License 1Y Enhanced Support XGS XGS 3100</v>
          </cell>
          <cell r="F41">
            <v>0</v>
          </cell>
          <cell r="I41" t="str">
            <v>Sophos</v>
          </cell>
          <cell r="J41" t="e">
            <v>#REF!</v>
          </cell>
          <cell r="K41" t="str">
            <v>Bản quyền</v>
          </cell>
          <cell r="L41">
            <v>1</v>
          </cell>
          <cell r="N41">
            <v>0</v>
          </cell>
          <cell r="P41">
            <v>50229471.600000001</v>
          </cell>
        </row>
        <row r="42">
          <cell r="B42" t="str">
            <v>TC42</v>
          </cell>
          <cell r="C42" t="str">
            <v>Cho thuê FW XGS 3100</v>
          </cell>
          <cell r="D42" t="str">
            <v>Dịch vụ cho thuê thiết bị tường lửa  Sophos XGS 3100 thời hạn 1 năm:
- Cấu hình phần cứng HW
Sophos XGS 3100 Hardware Appliance:
XGS 3100 HW Appliance with 8 GE + 2 SFP + 2 SFP+ ports, 1 expansion bay for optional Flexi Port module, SSD + Base License (incl. FW, VPN &amp; Wireless) for unlimited users + power cable.
- Phần mềm hỗ trợ tường lửa Sophos XGS 3100
License Network Protection
License Enhanced Support</v>
          </cell>
          <cell r="E42" t="str">
            <v>Dịch vụ cho thuê thiết bị tường lửa  Sophos XGS 2300 thời hạn 1 năm:
- Cấu hình phần cứng HW
Sophos XGS 2300 Hardware Appliance:
XGS 2300 HW Appliance with 8 GE + 2 SFP ports, 1 expansion bay for optional Flexi Port module, SSD + Base License (incl. FW, VPN &amp; Wireless) for unlimited users + power cable.
- Phần mềm hỗ trợ tường lửa Sophos XGS 2300
License Network Protection
License Enhanced Support</v>
          </cell>
          <cell r="F42">
            <v>0.08</v>
          </cell>
          <cell r="I42" t="str">
            <v>Sophos</v>
          </cell>
          <cell r="K42" t="str">
            <v>Cái</v>
          </cell>
          <cell r="L42">
            <v>1</v>
          </cell>
          <cell r="N42">
            <v>0</v>
          </cell>
          <cell r="P42">
            <v>100333231.59999999</v>
          </cell>
          <cell r="W42">
            <v>0</v>
          </cell>
        </row>
        <row r="43">
          <cell r="B43" t="str">
            <v>TC43</v>
          </cell>
          <cell r="F43">
            <v>0.08</v>
          </cell>
          <cell r="I43" t="e">
            <v>#REF!</v>
          </cell>
          <cell r="L43">
            <v>0</v>
          </cell>
          <cell r="N43" t="e">
            <v>#REF!</v>
          </cell>
          <cell r="O43">
            <v>0.4</v>
          </cell>
          <cell r="P43" t="e">
            <v>#REF!</v>
          </cell>
        </row>
        <row r="44">
          <cell r="B44" t="str">
            <v>TC44</v>
          </cell>
          <cell r="F44">
            <v>0.08</v>
          </cell>
          <cell r="I44" t="e">
            <v>#REF!</v>
          </cell>
          <cell r="L44">
            <v>0</v>
          </cell>
          <cell r="N44" t="e">
            <v>#REF!</v>
          </cell>
          <cell r="O44">
            <v>0.4</v>
          </cell>
          <cell r="P44" t="e">
            <v>#REF!</v>
          </cell>
        </row>
        <row r="45">
          <cell r="B45" t="str">
            <v>TC45</v>
          </cell>
          <cell r="F45">
            <v>0.08</v>
          </cell>
          <cell r="I45" t="e">
            <v>#REF!</v>
          </cell>
          <cell r="L45">
            <v>0</v>
          </cell>
          <cell r="N45" t="e">
            <v>#REF!</v>
          </cell>
          <cell r="O45">
            <v>0.4</v>
          </cell>
          <cell r="P45" t="e">
            <v>#REF!</v>
          </cell>
        </row>
        <row r="46">
          <cell r="B46" t="str">
            <v>TC46</v>
          </cell>
          <cell r="F46">
            <v>0.08</v>
          </cell>
          <cell r="I46" t="e">
            <v>#REF!</v>
          </cell>
          <cell r="L46">
            <v>1</v>
          </cell>
          <cell r="N46" t="e">
            <v>#REF!</v>
          </cell>
          <cell r="O46">
            <v>0.4</v>
          </cell>
          <cell r="P46" t="e">
            <v>#REF!</v>
          </cell>
        </row>
        <row r="47">
          <cell r="B47" t="str">
            <v>TC47</v>
          </cell>
          <cell r="F47">
            <v>0.08</v>
          </cell>
          <cell r="I47" t="e">
            <v>#REF!</v>
          </cell>
          <cell r="L47">
            <v>1</v>
          </cell>
          <cell r="N47" t="e">
            <v>#REF!</v>
          </cell>
          <cell r="O47">
            <v>0.4</v>
          </cell>
          <cell r="P47" t="e">
            <v>#REF!</v>
          </cell>
        </row>
        <row r="48">
          <cell r="B48" t="str">
            <v>TC48</v>
          </cell>
          <cell r="F48">
            <v>0.08</v>
          </cell>
          <cell r="I48" t="e">
            <v>#REF!</v>
          </cell>
          <cell r="L48">
            <v>0</v>
          </cell>
          <cell r="N48" t="e">
            <v>#REF!</v>
          </cell>
          <cell r="O48">
            <v>0.4</v>
          </cell>
          <cell r="P48" t="e">
            <v>#REF!</v>
          </cell>
        </row>
        <row r="49">
          <cell r="B49" t="str">
            <v>TC49</v>
          </cell>
          <cell r="F49">
            <v>0.08</v>
          </cell>
          <cell r="I49" t="e">
            <v>#REF!</v>
          </cell>
          <cell r="L49">
            <v>2</v>
          </cell>
          <cell r="N49" t="e">
            <v>#REF!</v>
          </cell>
          <cell r="O49">
            <v>0.4</v>
          </cell>
          <cell r="P49" t="e">
            <v>#REF!</v>
          </cell>
        </row>
        <row r="50">
          <cell r="B50" t="str">
            <v>TC50</v>
          </cell>
          <cell r="F50">
            <v>0.08</v>
          </cell>
          <cell r="I50" t="e">
            <v>#REF!</v>
          </cell>
          <cell r="L50">
            <v>1</v>
          </cell>
          <cell r="N50" t="e">
            <v>#REF!</v>
          </cell>
          <cell r="O50">
            <v>0.4</v>
          </cell>
          <cell r="P50" t="e">
            <v>#REF!</v>
          </cell>
        </row>
        <row r="51">
          <cell r="B51" t="str">
            <v>TC51</v>
          </cell>
          <cell r="F51">
            <v>0.08</v>
          </cell>
          <cell r="I51" t="e">
            <v>#REF!</v>
          </cell>
          <cell r="L51">
            <v>0</v>
          </cell>
          <cell r="N51" t="e">
            <v>#REF!</v>
          </cell>
          <cell r="O51">
            <v>0.4</v>
          </cell>
          <cell r="P51" t="e">
            <v>#REF!</v>
          </cell>
        </row>
        <row r="52">
          <cell r="B52" t="str">
            <v>TC52</v>
          </cell>
          <cell r="F52">
            <v>0.08</v>
          </cell>
          <cell r="I52" t="e">
            <v>#REF!</v>
          </cell>
          <cell r="L52">
            <v>2</v>
          </cell>
          <cell r="N52" t="e">
            <v>#REF!</v>
          </cell>
          <cell r="O52">
            <v>0.4</v>
          </cell>
          <cell r="P52" t="e">
            <v>#REF!</v>
          </cell>
        </row>
        <row r="53">
          <cell r="B53" t="str">
            <v>TC53</v>
          </cell>
          <cell r="F53">
            <v>0.08</v>
          </cell>
          <cell r="I53" t="e">
            <v>#REF!</v>
          </cell>
          <cell r="L53">
            <v>1</v>
          </cell>
          <cell r="N53" t="e">
            <v>#REF!</v>
          </cell>
          <cell r="O53">
            <v>0.4</v>
          </cell>
          <cell r="P53" t="e">
            <v>#REF!</v>
          </cell>
        </row>
        <row r="54">
          <cell r="B54" t="str">
            <v>TC54</v>
          </cell>
          <cell r="F54">
            <v>0.08</v>
          </cell>
          <cell r="I54" t="e">
            <v>#REF!</v>
          </cell>
          <cell r="L54">
            <v>0</v>
          </cell>
          <cell r="N54" t="e">
            <v>#REF!</v>
          </cell>
          <cell r="O54">
            <v>0.4</v>
          </cell>
          <cell r="P54" t="e">
            <v>#REF!</v>
          </cell>
        </row>
        <row r="55">
          <cell r="B55" t="str">
            <v>TC55</v>
          </cell>
          <cell r="F55">
            <v>0.08</v>
          </cell>
          <cell r="I55" t="str">
            <v>VN</v>
          </cell>
          <cell r="L55">
            <v>1</v>
          </cell>
          <cell r="N55" t="e">
            <v>#REF!</v>
          </cell>
          <cell r="O55">
            <v>0.4</v>
          </cell>
          <cell r="P55" t="e">
            <v>#REF!</v>
          </cell>
        </row>
        <row r="56">
          <cell r="B56" t="str">
            <v>TC56</v>
          </cell>
          <cell r="F56">
            <v>0.08</v>
          </cell>
          <cell r="I56" t="str">
            <v>VN</v>
          </cell>
          <cell r="L56">
            <v>0</v>
          </cell>
          <cell r="N56" t="e">
            <v>#REF!</v>
          </cell>
          <cell r="O56">
            <v>0.4</v>
          </cell>
          <cell r="P56" t="e">
            <v>#REF!</v>
          </cell>
        </row>
        <row r="57">
          <cell r="B57" t="str">
            <v>TC57</v>
          </cell>
          <cell r="F57">
            <v>0.08</v>
          </cell>
          <cell r="I57" t="e">
            <v>#REF!</v>
          </cell>
          <cell r="L57">
            <v>0</v>
          </cell>
          <cell r="N57" t="e">
            <v>#REF!</v>
          </cell>
          <cell r="O57">
            <v>0.4</v>
          </cell>
          <cell r="P57" t="e">
            <v>#REF!</v>
          </cell>
        </row>
        <row r="58">
          <cell r="B58" t="str">
            <v>TC58</v>
          </cell>
          <cell r="F58">
            <v>0.08</v>
          </cell>
          <cell r="I58" t="str">
            <v>VN</v>
          </cell>
          <cell r="L58">
            <v>0</v>
          </cell>
          <cell r="N58" t="e">
            <v>#REF!</v>
          </cell>
          <cell r="P58" t="e">
            <v>#REF!</v>
          </cell>
        </row>
        <row r="59">
          <cell r="B59" t="str">
            <v>TC59</v>
          </cell>
          <cell r="F59">
            <v>0.08</v>
          </cell>
          <cell r="I59" t="str">
            <v>Cadivi</v>
          </cell>
          <cell r="L59">
            <v>1</v>
          </cell>
          <cell r="N59">
            <v>87000</v>
          </cell>
          <cell r="P59">
            <v>90000</v>
          </cell>
        </row>
        <row r="60">
          <cell r="B60" t="str">
            <v>TC60</v>
          </cell>
          <cell r="F60">
            <v>0.08</v>
          </cell>
          <cell r="I60" t="str">
            <v>VN</v>
          </cell>
          <cell r="L60">
            <v>1</v>
          </cell>
          <cell r="N60">
            <v>45800</v>
          </cell>
          <cell r="P60">
            <v>50000</v>
          </cell>
        </row>
        <row r="61">
          <cell r="B61" t="str">
            <v>TC61</v>
          </cell>
          <cell r="F61">
            <v>0.08</v>
          </cell>
          <cell r="I61" t="str">
            <v>VN</v>
          </cell>
          <cell r="K61" t="e">
            <v>#REF!</v>
          </cell>
          <cell r="L61">
            <v>0</v>
          </cell>
          <cell r="N61" t="e">
            <v>#REF!</v>
          </cell>
          <cell r="P61" t="e">
            <v>#REF!</v>
          </cell>
        </row>
        <row r="62">
          <cell r="B62" t="str">
            <v>TC62</v>
          </cell>
          <cell r="F62">
            <v>0.08</v>
          </cell>
          <cell r="I62" t="str">
            <v>VN</v>
          </cell>
          <cell r="K62" t="e">
            <v>#REF!</v>
          </cell>
          <cell r="L62">
            <v>1</v>
          </cell>
          <cell r="N62" t="e">
            <v>#REF!</v>
          </cell>
          <cell r="P62" t="e">
            <v>#REF!</v>
          </cell>
        </row>
        <row r="63">
          <cell r="B63" t="str">
            <v>TC63</v>
          </cell>
          <cell r="F63">
            <v>0.08</v>
          </cell>
          <cell r="I63" t="str">
            <v>VN</v>
          </cell>
          <cell r="K63" t="str">
            <v>Cây</v>
          </cell>
          <cell r="L63">
            <v>1</v>
          </cell>
          <cell r="N63">
            <v>45800</v>
          </cell>
          <cell r="P63">
            <v>50000</v>
          </cell>
        </row>
        <row r="64">
          <cell r="B64" t="str">
            <v>TC64</v>
          </cell>
          <cell r="F64">
            <v>0.08</v>
          </cell>
          <cell r="I64" t="str">
            <v>AMPC</v>
          </cell>
          <cell r="K64" t="str">
            <v>Bộ</v>
          </cell>
          <cell r="L64">
            <v>0</v>
          </cell>
          <cell r="N64">
            <v>7100000</v>
          </cell>
          <cell r="O64">
            <v>0.4</v>
          </cell>
          <cell r="P64">
            <v>9940000</v>
          </cell>
        </row>
        <row r="65">
          <cell r="B65" t="str">
            <v>TC65</v>
          </cell>
          <cell r="F65">
            <v>0.08</v>
          </cell>
          <cell r="I65" t="str">
            <v>AMPC</v>
          </cell>
          <cell r="K65" t="str">
            <v>Cái</v>
          </cell>
          <cell r="L65">
            <v>1</v>
          </cell>
          <cell r="N65">
            <v>520000</v>
          </cell>
          <cell r="O65">
            <v>0.4</v>
          </cell>
          <cell r="P65">
            <v>728000</v>
          </cell>
        </row>
        <row r="66">
          <cell r="B66" t="str">
            <v>TC66</v>
          </cell>
          <cell r="F66">
            <v>0.08</v>
          </cell>
          <cell r="I66" t="str">
            <v>VN</v>
          </cell>
          <cell r="K66" t="str">
            <v>Gói</v>
          </cell>
          <cell r="L66">
            <v>1</v>
          </cell>
          <cell r="N66">
            <v>8800000</v>
          </cell>
          <cell r="O66">
            <v>0.4</v>
          </cell>
          <cell r="P66">
            <v>12000000</v>
          </cell>
        </row>
        <row r="67">
          <cell r="B67" t="str">
            <v>TC67</v>
          </cell>
          <cell r="F67">
            <v>0.08</v>
          </cell>
          <cell r="L67">
            <v>0</v>
          </cell>
          <cell r="O67">
            <v>0.4</v>
          </cell>
          <cell r="P67">
            <v>0</v>
          </cell>
        </row>
        <row r="68">
          <cell r="B68" t="str">
            <v>TC68</v>
          </cell>
          <cell r="F68">
            <v>0.08</v>
          </cell>
          <cell r="L68">
            <v>1</v>
          </cell>
          <cell r="O68">
            <v>0.4</v>
          </cell>
          <cell r="P68">
            <v>0</v>
          </cell>
        </row>
        <row r="69">
          <cell r="B69" t="str">
            <v>TC69</v>
          </cell>
          <cell r="F69">
            <v>0.08</v>
          </cell>
          <cell r="L69">
            <v>1</v>
          </cell>
          <cell r="P69">
            <v>0</v>
          </cell>
        </row>
        <row r="70">
          <cell r="B70" t="str">
            <v>TC70</v>
          </cell>
          <cell r="L70">
            <v>0</v>
          </cell>
          <cell r="P70">
            <v>0</v>
          </cell>
        </row>
        <row r="71">
          <cell r="B71" t="str">
            <v>TC71</v>
          </cell>
          <cell r="L71">
            <v>1</v>
          </cell>
          <cell r="P71">
            <v>0</v>
          </cell>
        </row>
        <row r="72">
          <cell r="B72" t="str">
            <v>TC72</v>
          </cell>
          <cell r="L72">
            <v>1</v>
          </cell>
        </row>
        <row r="73">
          <cell r="B73" t="str">
            <v>TC73</v>
          </cell>
          <cell r="L73">
            <v>0</v>
          </cell>
        </row>
        <row r="74">
          <cell r="L74">
            <v>0</v>
          </cell>
        </row>
        <row r="75">
          <cell r="L75">
            <v>0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0</v>
          </cell>
        </row>
        <row r="80">
          <cell r="L80">
            <v>0</v>
          </cell>
        </row>
        <row r="81">
          <cell r="L81">
            <v>0</v>
          </cell>
        </row>
        <row r="82">
          <cell r="L82">
            <v>0</v>
          </cell>
        </row>
        <row r="83">
          <cell r="L83">
            <v>0</v>
          </cell>
        </row>
        <row r="84">
          <cell r="L8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tssi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EC4E-D951-4627-803A-83A6EA803C60}">
  <sheetPr>
    <tabColor theme="5" tint="0.79998168889431442"/>
  </sheetPr>
  <dimension ref="B1:R40"/>
  <sheetViews>
    <sheetView tabSelected="1" view="pageBreakPreview" topLeftCell="A6" zoomScaleNormal="100" zoomScaleSheetLayoutView="100" workbookViewId="0">
      <selection activeCell="V11" sqref="V11"/>
    </sheetView>
  </sheetViews>
  <sheetFormatPr defaultRowHeight="12.75" x14ac:dyDescent="0.25"/>
  <cols>
    <col min="1" max="1" width="1.85546875" style="16" customWidth="1"/>
    <col min="2" max="2" width="5.28515625" style="14" customWidth="1"/>
    <col min="3" max="3" width="13.28515625" style="14" customWidth="1"/>
    <col min="4" max="4" width="34.140625" style="14" customWidth="1"/>
    <col min="5" max="5" width="59.5703125" style="14" hidden="1" customWidth="1"/>
    <col min="6" max="6" width="8.140625" style="14" hidden="1" customWidth="1"/>
    <col min="7" max="7" width="10.42578125" style="14" hidden="1" customWidth="1"/>
    <col min="8" max="8" width="11.42578125" style="14" hidden="1" customWidth="1"/>
    <col min="9" max="9" width="5.85546875" style="49" hidden="1" customWidth="1"/>
    <col min="10" max="10" width="5.42578125" style="49" bestFit="1" customWidth="1"/>
    <col min="11" max="11" width="6.7109375" style="50" bestFit="1" customWidth="1"/>
    <col min="12" max="12" width="15.85546875" style="50" customWidth="1"/>
    <col min="13" max="13" width="16.28515625" style="50" customWidth="1"/>
    <col min="14" max="14" width="13.5703125" style="48" hidden="1" customWidth="1"/>
    <col min="15" max="15" width="14.140625" style="49" hidden="1" customWidth="1"/>
    <col min="16" max="16" width="9" style="49" customWidth="1"/>
    <col min="17" max="17" width="13" style="49" customWidth="1"/>
    <col min="18" max="18" width="16.140625" style="16" customWidth="1"/>
    <col min="19" max="245" width="9.28515625" style="16"/>
    <col min="246" max="246" width="2.85546875" style="16" customWidth="1"/>
    <col min="247" max="247" width="5.28515625" style="16" customWidth="1"/>
    <col min="248" max="248" width="17.28515625" style="16" customWidth="1"/>
    <col min="249" max="249" width="57.85546875" style="16" customWidth="1"/>
    <col min="250" max="250" width="5.5703125" style="16" customWidth="1"/>
    <col min="251" max="251" width="12" style="16" customWidth="1"/>
    <col min="252" max="252" width="14.28515625" style="16" customWidth="1"/>
    <col min="253" max="253" width="12" style="16" customWidth="1"/>
    <col min="254" max="254" width="0.28515625" style="16" customWidth="1"/>
    <col min="255" max="255" width="18.28515625" style="16" customWidth="1"/>
    <col min="256" max="501" width="9.28515625" style="16"/>
    <col min="502" max="502" width="2.85546875" style="16" customWidth="1"/>
    <col min="503" max="503" width="5.28515625" style="16" customWidth="1"/>
    <col min="504" max="504" width="17.28515625" style="16" customWidth="1"/>
    <col min="505" max="505" width="57.85546875" style="16" customWidth="1"/>
    <col min="506" max="506" width="5.5703125" style="16" customWidth="1"/>
    <col min="507" max="507" width="12" style="16" customWidth="1"/>
    <col min="508" max="508" width="14.28515625" style="16" customWidth="1"/>
    <col min="509" max="509" width="12" style="16" customWidth="1"/>
    <col min="510" max="510" width="0.28515625" style="16" customWidth="1"/>
    <col min="511" max="511" width="18.28515625" style="16" customWidth="1"/>
    <col min="512" max="757" width="9.28515625" style="16"/>
    <col min="758" max="758" width="2.85546875" style="16" customWidth="1"/>
    <col min="759" max="759" width="5.28515625" style="16" customWidth="1"/>
    <col min="760" max="760" width="17.28515625" style="16" customWidth="1"/>
    <col min="761" max="761" width="57.85546875" style="16" customWidth="1"/>
    <col min="762" max="762" width="5.5703125" style="16" customWidth="1"/>
    <col min="763" max="763" width="12" style="16" customWidth="1"/>
    <col min="764" max="764" width="14.28515625" style="16" customWidth="1"/>
    <col min="765" max="765" width="12" style="16" customWidth="1"/>
    <col min="766" max="766" width="0.28515625" style="16" customWidth="1"/>
    <col min="767" max="767" width="18.28515625" style="16" customWidth="1"/>
    <col min="768" max="1013" width="9.28515625" style="16"/>
    <col min="1014" max="1014" width="2.85546875" style="16" customWidth="1"/>
    <col min="1015" max="1015" width="5.28515625" style="16" customWidth="1"/>
    <col min="1016" max="1016" width="17.28515625" style="16" customWidth="1"/>
    <col min="1017" max="1017" width="57.85546875" style="16" customWidth="1"/>
    <col min="1018" max="1018" width="5.5703125" style="16" customWidth="1"/>
    <col min="1019" max="1019" width="12" style="16" customWidth="1"/>
    <col min="1020" max="1020" width="14.28515625" style="16" customWidth="1"/>
    <col min="1021" max="1021" width="12" style="16" customWidth="1"/>
    <col min="1022" max="1022" width="0.28515625" style="16" customWidth="1"/>
    <col min="1023" max="1023" width="18.28515625" style="16" customWidth="1"/>
    <col min="1024" max="1269" width="9.28515625" style="16"/>
    <col min="1270" max="1270" width="2.85546875" style="16" customWidth="1"/>
    <col min="1271" max="1271" width="5.28515625" style="16" customWidth="1"/>
    <col min="1272" max="1272" width="17.28515625" style="16" customWidth="1"/>
    <col min="1273" max="1273" width="57.85546875" style="16" customWidth="1"/>
    <col min="1274" max="1274" width="5.5703125" style="16" customWidth="1"/>
    <col min="1275" max="1275" width="12" style="16" customWidth="1"/>
    <col min="1276" max="1276" width="14.28515625" style="16" customWidth="1"/>
    <col min="1277" max="1277" width="12" style="16" customWidth="1"/>
    <col min="1278" max="1278" width="0.28515625" style="16" customWidth="1"/>
    <col min="1279" max="1279" width="18.28515625" style="16" customWidth="1"/>
    <col min="1280" max="1525" width="9.28515625" style="16"/>
    <col min="1526" max="1526" width="2.85546875" style="16" customWidth="1"/>
    <col min="1527" max="1527" width="5.28515625" style="16" customWidth="1"/>
    <col min="1528" max="1528" width="17.28515625" style="16" customWidth="1"/>
    <col min="1529" max="1529" width="57.85546875" style="16" customWidth="1"/>
    <col min="1530" max="1530" width="5.5703125" style="16" customWidth="1"/>
    <col min="1531" max="1531" width="12" style="16" customWidth="1"/>
    <col min="1532" max="1532" width="14.28515625" style="16" customWidth="1"/>
    <col min="1533" max="1533" width="12" style="16" customWidth="1"/>
    <col min="1534" max="1534" width="0.28515625" style="16" customWidth="1"/>
    <col min="1535" max="1535" width="18.28515625" style="16" customWidth="1"/>
    <col min="1536" max="1781" width="9.28515625" style="16"/>
    <col min="1782" max="1782" width="2.85546875" style="16" customWidth="1"/>
    <col min="1783" max="1783" width="5.28515625" style="16" customWidth="1"/>
    <col min="1784" max="1784" width="17.28515625" style="16" customWidth="1"/>
    <col min="1785" max="1785" width="57.85546875" style="16" customWidth="1"/>
    <col min="1786" max="1786" width="5.5703125" style="16" customWidth="1"/>
    <col min="1787" max="1787" width="12" style="16" customWidth="1"/>
    <col min="1788" max="1788" width="14.28515625" style="16" customWidth="1"/>
    <col min="1789" max="1789" width="12" style="16" customWidth="1"/>
    <col min="1790" max="1790" width="0.28515625" style="16" customWidth="1"/>
    <col min="1791" max="1791" width="18.28515625" style="16" customWidth="1"/>
    <col min="1792" max="2037" width="9.28515625" style="16"/>
    <col min="2038" max="2038" width="2.85546875" style="16" customWidth="1"/>
    <col min="2039" max="2039" width="5.28515625" style="16" customWidth="1"/>
    <col min="2040" max="2040" width="17.28515625" style="16" customWidth="1"/>
    <col min="2041" max="2041" width="57.85546875" style="16" customWidth="1"/>
    <col min="2042" max="2042" width="5.5703125" style="16" customWidth="1"/>
    <col min="2043" max="2043" width="12" style="16" customWidth="1"/>
    <col min="2044" max="2044" width="14.28515625" style="16" customWidth="1"/>
    <col min="2045" max="2045" width="12" style="16" customWidth="1"/>
    <col min="2046" max="2046" width="0.28515625" style="16" customWidth="1"/>
    <col min="2047" max="2047" width="18.28515625" style="16" customWidth="1"/>
    <col min="2048" max="2293" width="9.28515625" style="16"/>
    <col min="2294" max="2294" width="2.85546875" style="16" customWidth="1"/>
    <col min="2295" max="2295" width="5.28515625" style="16" customWidth="1"/>
    <col min="2296" max="2296" width="17.28515625" style="16" customWidth="1"/>
    <col min="2297" max="2297" width="57.85546875" style="16" customWidth="1"/>
    <col min="2298" max="2298" width="5.5703125" style="16" customWidth="1"/>
    <col min="2299" max="2299" width="12" style="16" customWidth="1"/>
    <col min="2300" max="2300" width="14.28515625" style="16" customWidth="1"/>
    <col min="2301" max="2301" width="12" style="16" customWidth="1"/>
    <col min="2302" max="2302" width="0.28515625" style="16" customWidth="1"/>
    <col min="2303" max="2303" width="18.28515625" style="16" customWidth="1"/>
    <col min="2304" max="2549" width="9.28515625" style="16"/>
    <col min="2550" max="2550" width="2.85546875" style="16" customWidth="1"/>
    <col min="2551" max="2551" width="5.28515625" style="16" customWidth="1"/>
    <col min="2552" max="2552" width="17.28515625" style="16" customWidth="1"/>
    <col min="2553" max="2553" width="57.85546875" style="16" customWidth="1"/>
    <col min="2554" max="2554" width="5.5703125" style="16" customWidth="1"/>
    <col min="2555" max="2555" width="12" style="16" customWidth="1"/>
    <col min="2556" max="2556" width="14.28515625" style="16" customWidth="1"/>
    <col min="2557" max="2557" width="12" style="16" customWidth="1"/>
    <col min="2558" max="2558" width="0.28515625" style="16" customWidth="1"/>
    <col min="2559" max="2559" width="18.28515625" style="16" customWidth="1"/>
    <col min="2560" max="2805" width="9.28515625" style="16"/>
    <col min="2806" max="2806" width="2.85546875" style="16" customWidth="1"/>
    <col min="2807" max="2807" width="5.28515625" style="16" customWidth="1"/>
    <col min="2808" max="2808" width="17.28515625" style="16" customWidth="1"/>
    <col min="2809" max="2809" width="57.85546875" style="16" customWidth="1"/>
    <col min="2810" max="2810" width="5.5703125" style="16" customWidth="1"/>
    <col min="2811" max="2811" width="12" style="16" customWidth="1"/>
    <col min="2812" max="2812" width="14.28515625" style="16" customWidth="1"/>
    <col min="2813" max="2813" width="12" style="16" customWidth="1"/>
    <col min="2814" max="2814" width="0.28515625" style="16" customWidth="1"/>
    <col min="2815" max="2815" width="18.28515625" style="16" customWidth="1"/>
    <col min="2816" max="3061" width="9.28515625" style="16"/>
    <col min="3062" max="3062" width="2.85546875" style="16" customWidth="1"/>
    <col min="3063" max="3063" width="5.28515625" style="16" customWidth="1"/>
    <col min="3064" max="3064" width="17.28515625" style="16" customWidth="1"/>
    <col min="3065" max="3065" width="57.85546875" style="16" customWidth="1"/>
    <col min="3066" max="3066" width="5.5703125" style="16" customWidth="1"/>
    <col min="3067" max="3067" width="12" style="16" customWidth="1"/>
    <col min="3068" max="3068" width="14.28515625" style="16" customWidth="1"/>
    <col min="3069" max="3069" width="12" style="16" customWidth="1"/>
    <col min="3070" max="3070" width="0.28515625" style="16" customWidth="1"/>
    <col min="3071" max="3071" width="18.28515625" style="16" customWidth="1"/>
    <col min="3072" max="3317" width="9.28515625" style="16"/>
    <col min="3318" max="3318" width="2.85546875" style="16" customWidth="1"/>
    <col min="3319" max="3319" width="5.28515625" style="16" customWidth="1"/>
    <col min="3320" max="3320" width="17.28515625" style="16" customWidth="1"/>
    <col min="3321" max="3321" width="57.85546875" style="16" customWidth="1"/>
    <col min="3322" max="3322" width="5.5703125" style="16" customWidth="1"/>
    <col min="3323" max="3323" width="12" style="16" customWidth="1"/>
    <col min="3324" max="3324" width="14.28515625" style="16" customWidth="1"/>
    <col min="3325" max="3325" width="12" style="16" customWidth="1"/>
    <col min="3326" max="3326" width="0.28515625" style="16" customWidth="1"/>
    <col min="3327" max="3327" width="18.28515625" style="16" customWidth="1"/>
    <col min="3328" max="3573" width="9.28515625" style="16"/>
    <col min="3574" max="3574" width="2.85546875" style="16" customWidth="1"/>
    <col min="3575" max="3575" width="5.28515625" style="16" customWidth="1"/>
    <col min="3576" max="3576" width="17.28515625" style="16" customWidth="1"/>
    <col min="3577" max="3577" width="57.85546875" style="16" customWidth="1"/>
    <col min="3578" max="3578" width="5.5703125" style="16" customWidth="1"/>
    <col min="3579" max="3579" width="12" style="16" customWidth="1"/>
    <col min="3580" max="3580" width="14.28515625" style="16" customWidth="1"/>
    <col min="3581" max="3581" width="12" style="16" customWidth="1"/>
    <col min="3582" max="3582" width="0.28515625" style="16" customWidth="1"/>
    <col min="3583" max="3583" width="18.28515625" style="16" customWidth="1"/>
    <col min="3584" max="3829" width="9.28515625" style="16"/>
    <col min="3830" max="3830" width="2.85546875" style="16" customWidth="1"/>
    <col min="3831" max="3831" width="5.28515625" style="16" customWidth="1"/>
    <col min="3832" max="3832" width="17.28515625" style="16" customWidth="1"/>
    <col min="3833" max="3833" width="57.85546875" style="16" customWidth="1"/>
    <col min="3834" max="3834" width="5.5703125" style="16" customWidth="1"/>
    <col min="3835" max="3835" width="12" style="16" customWidth="1"/>
    <col min="3836" max="3836" width="14.28515625" style="16" customWidth="1"/>
    <col min="3837" max="3837" width="12" style="16" customWidth="1"/>
    <col min="3838" max="3838" width="0.28515625" style="16" customWidth="1"/>
    <col min="3839" max="3839" width="18.28515625" style="16" customWidth="1"/>
    <col min="3840" max="4085" width="9.28515625" style="16"/>
    <col min="4086" max="4086" width="2.85546875" style="16" customWidth="1"/>
    <col min="4087" max="4087" width="5.28515625" style="16" customWidth="1"/>
    <col min="4088" max="4088" width="17.28515625" style="16" customWidth="1"/>
    <col min="4089" max="4089" width="57.85546875" style="16" customWidth="1"/>
    <col min="4090" max="4090" width="5.5703125" style="16" customWidth="1"/>
    <col min="4091" max="4091" width="12" style="16" customWidth="1"/>
    <col min="4092" max="4092" width="14.28515625" style="16" customWidth="1"/>
    <col min="4093" max="4093" width="12" style="16" customWidth="1"/>
    <col min="4094" max="4094" width="0.28515625" style="16" customWidth="1"/>
    <col min="4095" max="4095" width="18.28515625" style="16" customWidth="1"/>
    <col min="4096" max="4341" width="9.28515625" style="16"/>
    <col min="4342" max="4342" width="2.85546875" style="16" customWidth="1"/>
    <col min="4343" max="4343" width="5.28515625" style="16" customWidth="1"/>
    <col min="4344" max="4344" width="17.28515625" style="16" customWidth="1"/>
    <col min="4345" max="4345" width="57.85546875" style="16" customWidth="1"/>
    <col min="4346" max="4346" width="5.5703125" style="16" customWidth="1"/>
    <col min="4347" max="4347" width="12" style="16" customWidth="1"/>
    <col min="4348" max="4348" width="14.28515625" style="16" customWidth="1"/>
    <col min="4349" max="4349" width="12" style="16" customWidth="1"/>
    <col min="4350" max="4350" width="0.28515625" style="16" customWidth="1"/>
    <col min="4351" max="4351" width="18.28515625" style="16" customWidth="1"/>
    <col min="4352" max="4597" width="9.28515625" style="16"/>
    <col min="4598" max="4598" width="2.85546875" style="16" customWidth="1"/>
    <col min="4599" max="4599" width="5.28515625" style="16" customWidth="1"/>
    <col min="4600" max="4600" width="17.28515625" style="16" customWidth="1"/>
    <col min="4601" max="4601" width="57.85546875" style="16" customWidth="1"/>
    <col min="4602" max="4602" width="5.5703125" style="16" customWidth="1"/>
    <col min="4603" max="4603" width="12" style="16" customWidth="1"/>
    <col min="4604" max="4604" width="14.28515625" style="16" customWidth="1"/>
    <col min="4605" max="4605" width="12" style="16" customWidth="1"/>
    <col min="4606" max="4606" width="0.28515625" style="16" customWidth="1"/>
    <col min="4607" max="4607" width="18.28515625" style="16" customWidth="1"/>
    <col min="4608" max="4853" width="9.28515625" style="16"/>
    <col min="4854" max="4854" width="2.85546875" style="16" customWidth="1"/>
    <col min="4855" max="4855" width="5.28515625" style="16" customWidth="1"/>
    <col min="4856" max="4856" width="17.28515625" style="16" customWidth="1"/>
    <col min="4857" max="4857" width="57.85546875" style="16" customWidth="1"/>
    <col min="4858" max="4858" width="5.5703125" style="16" customWidth="1"/>
    <col min="4859" max="4859" width="12" style="16" customWidth="1"/>
    <col min="4860" max="4860" width="14.28515625" style="16" customWidth="1"/>
    <col min="4861" max="4861" width="12" style="16" customWidth="1"/>
    <col min="4862" max="4862" width="0.28515625" style="16" customWidth="1"/>
    <col min="4863" max="4863" width="18.28515625" style="16" customWidth="1"/>
    <col min="4864" max="5109" width="9.28515625" style="16"/>
    <col min="5110" max="5110" width="2.85546875" style="16" customWidth="1"/>
    <col min="5111" max="5111" width="5.28515625" style="16" customWidth="1"/>
    <col min="5112" max="5112" width="17.28515625" style="16" customWidth="1"/>
    <col min="5113" max="5113" width="57.85546875" style="16" customWidth="1"/>
    <col min="5114" max="5114" width="5.5703125" style="16" customWidth="1"/>
    <col min="5115" max="5115" width="12" style="16" customWidth="1"/>
    <col min="5116" max="5116" width="14.28515625" style="16" customWidth="1"/>
    <col min="5117" max="5117" width="12" style="16" customWidth="1"/>
    <col min="5118" max="5118" width="0.28515625" style="16" customWidth="1"/>
    <col min="5119" max="5119" width="18.28515625" style="16" customWidth="1"/>
    <col min="5120" max="5365" width="9.28515625" style="16"/>
    <col min="5366" max="5366" width="2.85546875" style="16" customWidth="1"/>
    <col min="5367" max="5367" width="5.28515625" style="16" customWidth="1"/>
    <col min="5368" max="5368" width="17.28515625" style="16" customWidth="1"/>
    <col min="5369" max="5369" width="57.85546875" style="16" customWidth="1"/>
    <col min="5370" max="5370" width="5.5703125" style="16" customWidth="1"/>
    <col min="5371" max="5371" width="12" style="16" customWidth="1"/>
    <col min="5372" max="5372" width="14.28515625" style="16" customWidth="1"/>
    <col min="5373" max="5373" width="12" style="16" customWidth="1"/>
    <col min="5374" max="5374" width="0.28515625" style="16" customWidth="1"/>
    <col min="5375" max="5375" width="18.28515625" style="16" customWidth="1"/>
    <col min="5376" max="5621" width="9.28515625" style="16"/>
    <col min="5622" max="5622" width="2.85546875" style="16" customWidth="1"/>
    <col min="5623" max="5623" width="5.28515625" style="16" customWidth="1"/>
    <col min="5624" max="5624" width="17.28515625" style="16" customWidth="1"/>
    <col min="5625" max="5625" width="57.85546875" style="16" customWidth="1"/>
    <col min="5626" max="5626" width="5.5703125" style="16" customWidth="1"/>
    <col min="5627" max="5627" width="12" style="16" customWidth="1"/>
    <col min="5628" max="5628" width="14.28515625" style="16" customWidth="1"/>
    <col min="5629" max="5629" width="12" style="16" customWidth="1"/>
    <col min="5630" max="5630" width="0.28515625" style="16" customWidth="1"/>
    <col min="5631" max="5631" width="18.28515625" style="16" customWidth="1"/>
    <col min="5632" max="5877" width="9.28515625" style="16"/>
    <col min="5878" max="5878" width="2.85546875" style="16" customWidth="1"/>
    <col min="5879" max="5879" width="5.28515625" style="16" customWidth="1"/>
    <col min="5880" max="5880" width="17.28515625" style="16" customWidth="1"/>
    <col min="5881" max="5881" width="57.85546875" style="16" customWidth="1"/>
    <col min="5882" max="5882" width="5.5703125" style="16" customWidth="1"/>
    <col min="5883" max="5883" width="12" style="16" customWidth="1"/>
    <col min="5884" max="5884" width="14.28515625" style="16" customWidth="1"/>
    <col min="5885" max="5885" width="12" style="16" customWidth="1"/>
    <col min="5886" max="5886" width="0.28515625" style="16" customWidth="1"/>
    <col min="5887" max="5887" width="18.28515625" style="16" customWidth="1"/>
    <col min="5888" max="6133" width="9.28515625" style="16"/>
    <col min="6134" max="6134" width="2.85546875" style="16" customWidth="1"/>
    <col min="6135" max="6135" width="5.28515625" style="16" customWidth="1"/>
    <col min="6136" max="6136" width="17.28515625" style="16" customWidth="1"/>
    <col min="6137" max="6137" width="57.85546875" style="16" customWidth="1"/>
    <col min="6138" max="6138" width="5.5703125" style="16" customWidth="1"/>
    <col min="6139" max="6139" width="12" style="16" customWidth="1"/>
    <col min="6140" max="6140" width="14.28515625" style="16" customWidth="1"/>
    <col min="6141" max="6141" width="12" style="16" customWidth="1"/>
    <col min="6142" max="6142" width="0.28515625" style="16" customWidth="1"/>
    <col min="6143" max="6143" width="18.28515625" style="16" customWidth="1"/>
    <col min="6144" max="6389" width="9.28515625" style="16"/>
    <col min="6390" max="6390" width="2.85546875" style="16" customWidth="1"/>
    <col min="6391" max="6391" width="5.28515625" style="16" customWidth="1"/>
    <col min="6392" max="6392" width="17.28515625" style="16" customWidth="1"/>
    <col min="6393" max="6393" width="57.85546875" style="16" customWidth="1"/>
    <col min="6394" max="6394" width="5.5703125" style="16" customWidth="1"/>
    <col min="6395" max="6395" width="12" style="16" customWidth="1"/>
    <col min="6396" max="6396" width="14.28515625" style="16" customWidth="1"/>
    <col min="6397" max="6397" width="12" style="16" customWidth="1"/>
    <col min="6398" max="6398" width="0.28515625" style="16" customWidth="1"/>
    <col min="6399" max="6399" width="18.28515625" style="16" customWidth="1"/>
    <col min="6400" max="6645" width="9.28515625" style="16"/>
    <col min="6646" max="6646" width="2.85546875" style="16" customWidth="1"/>
    <col min="6647" max="6647" width="5.28515625" style="16" customWidth="1"/>
    <col min="6648" max="6648" width="17.28515625" style="16" customWidth="1"/>
    <col min="6649" max="6649" width="57.85546875" style="16" customWidth="1"/>
    <col min="6650" max="6650" width="5.5703125" style="16" customWidth="1"/>
    <col min="6651" max="6651" width="12" style="16" customWidth="1"/>
    <col min="6652" max="6652" width="14.28515625" style="16" customWidth="1"/>
    <col min="6653" max="6653" width="12" style="16" customWidth="1"/>
    <col min="6654" max="6654" width="0.28515625" style="16" customWidth="1"/>
    <col min="6655" max="6655" width="18.28515625" style="16" customWidth="1"/>
    <col min="6656" max="6901" width="9.28515625" style="16"/>
    <col min="6902" max="6902" width="2.85546875" style="16" customWidth="1"/>
    <col min="6903" max="6903" width="5.28515625" style="16" customWidth="1"/>
    <col min="6904" max="6904" width="17.28515625" style="16" customWidth="1"/>
    <col min="6905" max="6905" width="57.85546875" style="16" customWidth="1"/>
    <col min="6906" max="6906" width="5.5703125" style="16" customWidth="1"/>
    <col min="6907" max="6907" width="12" style="16" customWidth="1"/>
    <col min="6908" max="6908" width="14.28515625" style="16" customWidth="1"/>
    <col min="6909" max="6909" width="12" style="16" customWidth="1"/>
    <col min="6910" max="6910" width="0.28515625" style="16" customWidth="1"/>
    <col min="6911" max="6911" width="18.28515625" style="16" customWidth="1"/>
    <col min="6912" max="7157" width="9.28515625" style="16"/>
    <col min="7158" max="7158" width="2.85546875" style="16" customWidth="1"/>
    <col min="7159" max="7159" width="5.28515625" style="16" customWidth="1"/>
    <col min="7160" max="7160" width="17.28515625" style="16" customWidth="1"/>
    <col min="7161" max="7161" width="57.85546875" style="16" customWidth="1"/>
    <col min="7162" max="7162" width="5.5703125" style="16" customWidth="1"/>
    <col min="7163" max="7163" width="12" style="16" customWidth="1"/>
    <col min="7164" max="7164" width="14.28515625" style="16" customWidth="1"/>
    <col min="7165" max="7165" width="12" style="16" customWidth="1"/>
    <col min="7166" max="7166" width="0.28515625" style="16" customWidth="1"/>
    <col min="7167" max="7167" width="18.28515625" style="16" customWidth="1"/>
    <col min="7168" max="7413" width="9.28515625" style="16"/>
    <col min="7414" max="7414" width="2.85546875" style="16" customWidth="1"/>
    <col min="7415" max="7415" width="5.28515625" style="16" customWidth="1"/>
    <col min="7416" max="7416" width="17.28515625" style="16" customWidth="1"/>
    <col min="7417" max="7417" width="57.85546875" style="16" customWidth="1"/>
    <col min="7418" max="7418" width="5.5703125" style="16" customWidth="1"/>
    <col min="7419" max="7419" width="12" style="16" customWidth="1"/>
    <col min="7420" max="7420" width="14.28515625" style="16" customWidth="1"/>
    <col min="7421" max="7421" width="12" style="16" customWidth="1"/>
    <col min="7422" max="7422" width="0.28515625" style="16" customWidth="1"/>
    <col min="7423" max="7423" width="18.28515625" style="16" customWidth="1"/>
    <col min="7424" max="7669" width="9.28515625" style="16"/>
    <col min="7670" max="7670" width="2.85546875" style="16" customWidth="1"/>
    <col min="7671" max="7671" width="5.28515625" style="16" customWidth="1"/>
    <col min="7672" max="7672" width="17.28515625" style="16" customWidth="1"/>
    <col min="7673" max="7673" width="57.85546875" style="16" customWidth="1"/>
    <col min="7674" max="7674" width="5.5703125" style="16" customWidth="1"/>
    <col min="7675" max="7675" width="12" style="16" customWidth="1"/>
    <col min="7676" max="7676" width="14.28515625" style="16" customWidth="1"/>
    <col min="7677" max="7677" width="12" style="16" customWidth="1"/>
    <col min="7678" max="7678" width="0.28515625" style="16" customWidth="1"/>
    <col min="7679" max="7679" width="18.28515625" style="16" customWidth="1"/>
    <col min="7680" max="7925" width="9.28515625" style="16"/>
    <col min="7926" max="7926" width="2.85546875" style="16" customWidth="1"/>
    <col min="7927" max="7927" width="5.28515625" style="16" customWidth="1"/>
    <col min="7928" max="7928" width="17.28515625" style="16" customWidth="1"/>
    <col min="7929" max="7929" width="57.85546875" style="16" customWidth="1"/>
    <col min="7930" max="7930" width="5.5703125" style="16" customWidth="1"/>
    <col min="7931" max="7931" width="12" style="16" customWidth="1"/>
    <col min="7932" max="7932" width="14.28515625" style="16" customWidth="1"/>
    <col min="7933" max="7933" width="12" style="16" customWidth="1"/>
    <col min="7934" max="7934" width="0.28515625" style="16" customWidth="1"/>
    <col min="7935" max="7935" width="18.28515625" style="16" customWidth="1"/>
    <col min="7936" max="8181" width="9.28515625" style="16"/>
    <col min="8182" max="8182" width="2.85546875" style="16" customWidth="1"/>
    <col min="8183" max="8183" width="5.28515625" style="16" customWidth="1"/>
    <col min="8184" max="8184" width="17.28515625" style="16" customWidth="1"/>
    <col min="8185" max="8185" width="57.85546875" style="16" customWidth="1"/>
    <col min="8186" max="8186" width="5.5703125" style="16" customWidth="1"/>
    <col min="8187" max="8187" width="12" style="16" customWidth="1"/>
    <col min="8188" max="8188" width="14.28515625" style="16" customWidth="1"/>
    <col min="8189" max="8189" width="12" style="16" customWidth="1"/>
    <col min="8190" max="8190" width="0.28515625" style="16" customWidth="1"/>
    <col min="8191" max="8191" width="18.28515625" style="16" customWidth="1"/>
    <col min="8192" max="8437" width="9.28515625" style="16"/>
    <col min="8438" max="8438" width="2.85546875" style="16" customWidth="1"/>
    <col min="8439" max="8439" width="5.28515625" style="16" customWidth="1"/>
    <col min="8440" max="8440" width="17.28515625" style="16" customWidth="1"/>
    <col min="8441" max="8441" width="57.85546875" style="16" customWidth="1"/>
    <col min="8442" max="8442" width="5.5703125" style="16" customWidth="1"/>
    <col min="8443" max="8443" width="12" style="16" customWidth="1"/>
    <col min="8444" max="8444" width="14.28515625" style="16" customWidth="1"/>
    <col min="8445" max="8445" width="12" style="16" customWidth="1"/>
    <col min="8446" max="8446" width="0.28515625" style="16" customWidth="1"/>
    <col min="8447" max="8447" width="18.28515625" style="16" customWidth="1"/>
    <col min="8448" max="8693" width="9.28515625" style="16"/>
    <col min="8694" max="8694" width="2.85546875" style="16" customWidth="1"/>
    <col min="8695" max="8695" width="5.28515625" style="16" customWidth="1"/>
    <col min="8696" max="8696" width="17.28515625" style="16" customWidth="1"/>
    <col min="8697" max="8697" width="57.85546875" style="16" customWidth="1"/>
    <col min="8698" max="8698" width="5.5703125" style="16" customWidth="1"/>
    <col min="8699" max="8699" width="12" style="16" customWidth="1"/>
    <col min="8700" max="8700" width="14.28515625" style="16" customWidth="1"/>
    <col min="8701" max="8701" width="12" style="16" customWidth="1"/>
    <col min="8702" max="8702" width="0.28515625" style="16" customWidth="1"/>
    <col min="8703" max="8703" width="18.28515625" style="16" customWidth="1"/>
    <col min="8704" max="8949" width="9.28515625" style="16"/>
    <col min="8950" max="8950" width="2.85546875" style="16" customWidth="1"/>
    <col min="8951" max="8951" width="5.28515625" style="16" customWidth="1"/>
    <col min="8952" max="8952" width="17.28515625" style="16" customWidth="1"/>
    <col min="8953" max="8953" width="57.85546875" style="16" customWidth="1"/>
    <col min="8954" max="8954" width="5.5703125" style="16" customWidth="1"/>
    <col min="8955" max="8955" width="12" style="16" customWidth="1"/>
    <col min="8956" max="8956" width="14.28515625" style="16" customWidth="1"/>
    <col min="8957" max="8957" width="12" style="16" customWidth="1"/>
    <col min="8958" max="8958" width="0.28515625" style="16" customWidth="1"/>
    <col min="8959" max="8959" width="18.28515625" style="16" customWidth="1"/>
    <col min="8960" max="9205" width="9.28515625" style="16"/>
    <col min="9206" max="9206" width="2.85546875" style="16" customWidth="1"/>
    <col min="9207" max="9207" width="5.28515625" style="16" customWidth="1"/>
    <col min="9208" max="9208" width="17.28515625" style="16" customWidth="1"/>
    <col min="9209" max="9209" width="57.85546875" style="16" customWidth="1"/>
    <col min="9210" max="9210" width="5.5703125" style="16" customWidth="1"/>
    <col min="9211" max="9211" width="12" style="16" customWidth="1"/>
    <col min="9212" max="9212" width="14.28515625" style="16" customWidth="1"/>
    <col min="9213" max="9213" width="12" style="16" customWidth="1"/>
    <col min="9214" max="9214" width="0.28515625" style="16" customWidth="1"/>
    <col min="9215" max="9215" width="18.28515625" style="16" customWidth="1"/>
    <col min="9216" max="9461" width="9.28515625" style="16"/>
    <col min="9462" max="9462" width="2.85546875" style="16" customWidth="1"/>
    <col min="9463" max="9463" width="5.28515625" style="16" customWidth="1"/>
    <col min="9464" max="9464" width="17.28515625" style="16" customWidth="1"/>
    <col min="9465" max="9465" width="57.85546875" style="16" customWidth="1"/>
    <col min="9466" max="9466" width="5.5703125" style="16" customWidth="1"/>
    <col min="9467" max="9467" width="12" style="16" customWidth="1"/>
    <col min="9468" max="9468" width="14.28515625" style="16" customWidth="1"/>
    <col min="9469" max="9469" width="12" style="16" customWidth="1"/>
    <col min="9470" max="9470" width="0.28515625" style="16" customWidth="1"/>
    <col min="9471" max="9471" width="18.28515625" style="16" customWidth="1"/>
    <col min="9472" max="9717" width="9.28515625" style="16"/>
    <col min="9718" max="9718" width="2.85546875" style="16" customWidth="1"/>
    <col min="9719" max="9719" width="5.28515625" style="16" customWidth="1"/>
    <col min="9720" max="9720" width="17.28515625" style="16" customWidth="1"/>
    <col min="9721" max="9721" width="57.85546875" style="16" customWidth="1"/>
    <col min="9722" max="9722" width="5.5703125" style="16" customWidth="1"/>
    <col min="9723" max="9723" width="12" style="16" customWidth="1"/>
    <col min="9724" max="9724" width="14.28515625" style="16" customWidth="1"/>
    <col min="9725" max="9725" width="12" style="16" customWidth="1"/>
    <col min="9726" max="9726" width="0.28515625" style="16" customWidth="1"/>
    <col min="9727" max="9727" width="18.28515625" style="16" customWidth="1"/>
    <col min="9728" max="9973" width="9.28515625" style="16"/>
    <col min="9974" max="9974" width="2.85546875" style="16" customWidth="1"/>
    <col min="9975" max="9975" width="5.28515625" style="16" customWidth="1"/>
    <col min="9976" max="9976" width="17.28515625" style="16" customWidth="1"/>
    <col min="9977" max="9977" width="57.85546875" style="16" customWidth="1"/>
    <col min="9978" max="9978" width="5.5703125" style="16" customWidth="1"/>
    <col min="9979" max="9979" width="12" style="16" customWidth="1"/>
    <col min="9980" max="9980" width="14.28515625" style="16" customWidth="1"/>
    <col min="9981" max="9981" width="12" style="16" customWidth="1"/>
    <col min="9982" max="9982" width="0.28515625" style="16" customWidth="1"/>
    <col min="9983" max="9983" width="18.28515625" style="16" customWidth="1"/>
    <col min="9984" max="10229" width="9.28515625" style="16"/>
    <col min="10230" max="10230" width="2.85546875" style="16" customWidth="1"/>
    <col min="10231" max="10231" width="5.28515625" style="16" customWidth="1"/>
    <col min="10232" max="10232" width="17.28515625" style="16" customWidth="1"/>
    <col min="10233" max="10233" width="57.85546875" style="16" customWidth="1"/>
    <col min="10234" max="10234" width="5.5703125" style="16" customWidth="1"/>
    <col min="10235" max="10235" width="12" style="16" customWidth="1"/>
    <col min="10236" max="10236" width="14.28515625" style="16" customWidth="1"/>
    <col min="10237" max="10237" width="12" style="16" customWidth="1"/>
    <col min="10238" max="10238" width="0.28515625" style="16" customWidth="1"/>
    <col min="10239" max="10239" width="18.28515625" style="16" customWidth="1"/>
    <col min="10240" max="10485" width="9.28515625" style="16"/>
    <col min="10486" max="10486" width="2.85546875" style="16" customWidth="1"/>
    <col min="10487" max="10487" width="5.28515625" style="16" customWidth="1"/>
    <col min="10488" max="10488" width="17.28515625" style="16" customWidth="1"/>
    <col min="10489" max="10489" width="57.85546875" style="16" customWidth="1"/>
    <col min="10490" max="10490" width="5.5703125" style="16" customWidth="1"/>
    <col min="10491" max="10491" width="12" style="16" customWidth="1"/>
    <col min="10492" max="10492" width="14.28515625" style="16" customWidth="1"/>
    <col min="10493" max="10493" width="12" style="16" customWidth="1"/>
    <col min="10494" max="10494" width="0.28515625" style="16" customWidth="1"/>
    <col min="10495" max="10495" width="18.28515625" style="16" customWidth="1"/>
    <col min="10496" max="10741" width="9.28515625" style="16"/>
    <col min="10742" max="10742" width="2.85546875" style="16" customWidth="1"/>
    <col min="10743" max="10743" width="5.28515625" style="16" customWidth="1"/>
    <col min="10744" max="10744" width="17.28515625" style="16" customWidth="1"/>
    <col min="10745" max="10745" width="57.85546875" style="16" customWidth="1"/>
    <col min="10746" max="10746" width="5.5703125" style="16" customWidth="1"/>
    <col min="10747" max="10747" width="12" style="16" customWidth="1"/>
    <col min="10748" max="10748" width="14.28515625" style="16" customWidth="1"/>
    <col min="10749" max="10749" width="12" style="16" customWidth="1"/>
    <col min="10750" max="10750" width="0.28515625" style="16" customWidth="1"/>
    <col min="10751" max="10751" width="18.28515625" style="16" customWidth="1"/>
    <col min="10752" max="10997" width="9.28515625" style="16"/>
    <col min="10998" max="10998" width="2.85546875" style="16" customWidth="1"/>
    <col min="10999" max="10999" width="5.28515625" style="16" customWidth="1"/>
    <col min="11000" max="11000" width="17.28515625" style="16" customWidth="1"/>
    <col min="11001" max="11001" width="57.85546875" style="16" customWidth="1"/>
    <col min="11002" max="11002" width="5.5703125" style="16" customWidth="1"/>
    <col min="11003" max="11003" width="12" style="16" customWidth="1"/>
    <col min="11004" max="11004" width="14.28515625" style="16" customWidth="1"/>
    <col min="11005" max="11005" width="12" style="16" customWidth="1"/>
    <col min="11006" max="11006" width="0.28515625" style="16" customWidth="1"/>
    <col min="11007" max="11007" width="18.28515625" style="16" customWidth="1"/>
    <col min="11008" max="11253" width="9.28515625" style="16"/>
    <col min="11254" max="11254" width="2.85546875" style="16" customWidth="1"/>
    <col min="11255" max="11255" width="5.28515625" style="16" customWidth="1"/>
    <col min="11256" max="11256" width="17.28515625" style="16" customWidth="1"/>
    <col min="11257" max="11257" width="57.85546875" style="16" customWidth="1"/>
    <col min="11258" max="11258" width="5.5703125" style="16" customWidth="1"/>
    <col min="11259" max="11259" width="12" style="16" customWidth="1"/>
    <col min="11260" max="11260" width="14.28515625" style="16" customWidth="1"/>
    <col min="11261" max="11261" width="12" style="16" customWidth="1"/>
    <col min="11262" max="11262" width="0.28515625" style="16" customWidth="1"/>
    <col min="11263" max="11263" width="18.28515625" style="16" customWidth="1"/>
    <col min="11264" max="11509" width="9.28515625" style="16"/>
    <col min="11510" max="11510" width="2.85546875" style="16" customWidth="1"/>
    <col min="11511" max="11511" width="5.28515625" style="16" customWidth="1"/>
    <col min="11512" max="11512" width="17.28515625" style="16" customWidth="1"/>
    <col min="11513" max="11513" width="57.85546875" style="16" customWidth="1"/>
    <col min="11514" max="11514" width="5.5703125" style="16" customWidth="1"/>
    <col min="11515" max="11515" width="12" style="16" customWidth="1"/>
    <col min="11516" max="11516" width="14.28515625" style="16" customWidth="1"/>
    <col min="11517" max="11517" width="12" style="16" customWidth="1"/>
    <col min="11518" max="11518" width="0.28515625" style="16" customWidth="1"/>
    <col min="11519" max="11519" width="18.28515625" style="16" customWidth="1"/>
    <col min="11520" max="11765" width="9.28515625" style="16"/>
    <col min="11766" max="11766" width="2.85546875" style="16" customWidth="1"/>
    <col min="11767" max="11767" width="5.28515625" style="16" customWidth="1"/>
    <col min="11768" max="11768" width="17.28515625" style="16" customWidth="1"/>
    <col min="11769" max="11769" width="57.85546875" style="16" customWidth="1"/>
    <col min="11770" max="11770" width="5.5703125" style="16" customWidth="1"/>
    <col min="11771" max="11771" width="12" style="16" customWidth="1"/>
    <col min="11772" max="11772" width="14.28515625" style="16" customWidth="1"/>
    <col min="11773" max="11773" width="12" style="16" customWidth="1"/>
    <col min="11774" max="11774" width="0.28515625" style="16" customWidth="1"/>
    <col min="11775" max="11775" width="18.28515625" style="16" customWidth="1"/>
    <col min="11776" max="12021" width="9.28515625" style="16"/>
    <col min="12022" max="12022" width="2.85546875" style="16" customWidth="1"/>
    <col min="12023" max="12023" width="5.28515625" style="16" customWidth="1"/>
    <col min="12024" max="12024" width="17.28515625" style="16" customWidth="1"/>
    <col min="12025" max="12025" width="57.85546875" style="16" customWidth="1"/>
    <col min="12026" max="12026" width="5.5703125" style="16" customWidth="1"/>
    <col min="12027" max="12027" width="12" style="16" customWidth="1"/>
    <col min="12028" max="12028" width="14.28515625" style="16" customWidth="1"/>
    <col min="12029" max="12029" width="12" style="16" customWidth="1"/>
    <col min="12030" max="12030" width="0.28515625" style="16" customWidth="1"/>
    <col min="12031" max="12031" width="18.28515625" style="16" customWidth="1"/>
    <col min="12032" max="12277" width="9.28515625" style="16"/>
    <col min="12278" max="12278" width="2.85546875" style="16" customWidth="1"/>
    <col min="12279" max="12279" width="5.28515625" style="16" customWidth="1"/>
    <col min="12280" max="12280" width="17.28515625" style="16" customWidth="1"/>
    <col min="12281" max="12281" width="57.85546875" style="16" customWidth="1"/>
    <col min="12282" max="12282" width="5.5703125" style="16" customWidth="1"/>
    <col min="12283" max="12283" width="12" style="16" customWidth="1"/>
    <col min="12284" max="12284" width="14.28515625" style="16" customWidth="1"/>
    <col min="12285" max="12285" width="12" style="16" customWidth="1"/>
    <col min="12286" max="12286" width="0.28515625" style="16" customWidth="1"/>
    <col min="12287" max="12287" width="18.28515625" style="16" customWidth="1"/>
    <col min="12288" max="12533" width="9.28515625" style="16"/>
    <col min="12534" max="12534" width="2.85546875" style="16" customWidth="1"/>
    <col min="12535" max="12535" width="5.28515625" style="16" customWidth="1"/>
    <col min="12536" max="12536" width="17.28515625" style="16" customWidth="1"/>
    <col min="12537" max="12537" width="57.85546875" style="16" customWidth="1"/>
    <col min="12538" max="12538" width="5.5703125" style="16" customWidth="1"/>
    <col min="12539" max="12539" width="12" style="16" customWidth="1"/>
    <col min="12540" max="12540" width="14.28515625" style="16" customWidth="1"/>
    <col min="12541" max="12541" width="12" style="16" customWidth="1"/>
    <col min="12542" max="12542" width="0.28515625" style="16" customWidth="1"/>
    <col min="12543" max="12543" width="18.28515625" style="16" customWidth="1"/>
    <col min="12544" max="12789" width="9.28515625" style="16"/>
    <col min="12790" max="12790" width="2.85546875" style="16" customWidth="1"/>
    <col min="12791" max="12791" width="5.28515625" style="16" customWidth="1"/>
    <col min="12792" max="12792" width="17.28515625" style="16" customWidth="1"/>
    <col min="12793" max="12793" width="57.85546875" style="16" customWidth="1"/>
    <col min="12794" max="12794" width="5.5703125" style="16" customWidth="1"/>
    <col min="12795" max="12795" width="12" style="16" customWidth="1"/>
    <col min="12796" max="12796" width="14.28515625" style="16" customWidth="1"/>
    <col min="12797" max="12797" width="12" style="16" customWidth="1"/>
    <col min="12798" max="12798" width="0.28515625" style="16" customWidth="1"/>
    <col min="12799" max="12799" width="18.28515625" style="16" customWidth="1"/>
    <col min="12800" max="13045" width="9.28515625" style="16"/>
    <col min="13046" max="13046" width="2.85546875" style="16" customWidth="1"/>
    <col min="13047" max="13047" width="5.28515625" style="16" customWidth="1"/>
    <col min="13048" max="13048" width="17.28515625" style="16" customWidth="1"/>
    <col min="13049" max="13049" width="57.85546875" style="16" customWidth="1"/>
    <col min="13050" max="13050" width="5.5703125" style="16" customWidth="1"/>
    <col min="13051" max="13051" width="12" style="16" customWidth="1"/>
    <col min="13052" max="13052" width="14.28515625" style="16" customWidth="1"/>
    <col min="13053" max="13053" width="12" style="16" customWidth="1"/>
    <col min="13054" max="13054" width="0.28515625" style="16" customWidth="1"/>
    <col min="13055" max="13055" width="18.28515625" style="16" customWidth="1"/>
    <col min="13056" max="13301" width="9.28515625" style="16"/>
    <col min="13302" max="13302" width="2.85546875" style="16" customWidth="1"/>
    <col min="13303" max="13303" width="5.28515625" style="16" customWidth="1"/>
    <col min="13304" max="13304" width="17.28515625" style="16" customWidth="1"/>
    <col min="13305" max="13305" width="57.85546875" style="16" customWidth="1"/>
    <col min="13306" max="13306" width="5.5703125" style="16" customWidth="1"/>
    <col min="13307" max="13307" width="12" style="16" customWidth="1"/>
    <col min="13308" max="13308" width="14.28515625" style="16" customWidth="1"/>
    <col min="13309" max="13309" width="12" style="16" customWidth="1"/>
    <col min="13310" max="13310" width="0.28515625" style="16" customWidth="1"/>
    <col min="13311" max="13311" width="18.28515625" style="16" customWidth="1"/>
    <col min="13312" max="13557" width="9.28515625" style="16"/>
    <col min="13558" max="13558" width="2.85546875" style="16" customWidth="1"/>
    <col min="13559" max="13559" width="5.28515625" style="16" customWidth="1"/>
    <col min="13560" max="13560" width="17.28515625" style="16" customWidth="1"/>
    <col min="13561" max="13561" width="57.85546875" style="16" customWidth="1"/>
    <col min="13562" max="13562" width="5.5703125" style="16" customWidth="1"/>
    <col min="13563" max="13563" width="12" style="16" customWidth="1"/>
    <col min="13564" max="13564" width="14.28515625" style="16" customWidth="1"/>
    <col min="13565" max="13565" width="12" style="16" customWidth="1"/>
    <col min="13566" max="13566" width="0.28515625" style="16" customWidth="1"/>
    <col min="13567" max="13567" width="18.28515625" style="16" customWidth="1"/>
    <col min="13568" max="13813" width="9.28515625" style="16"/>
    <col min="13814" max="13814" width="2.85546875" style="16" customWidth="1"/>
    <col min="13815" max="13815" width="5.28515625" style="16" customWidth="1"/>
    <col min="13816" max="13816" width="17.28515625" style="16" customWidth="1"/>
    <col min="13817" max="13817" width="57.85546875" style="16" customWidth="1"/>
    <col min="13818" max="13818" width="5.5703125" style="16" customWidth="1"/>
    <col min="13819" max="13819" width="12" style="16" customWidth="1"/>
    <col min="13820" max="13820" width="14.28515625" style="16" customWidth="1"/>
    <col min="13821" max="13821" width="12" style="16" customWidth="1"/>
    <col min="13822" max="13822" width="0.28515625" style="16" customWidth="1"/>
    <col min="13823" max="13823" width="18.28515625" style="16" customWidth="1"/>
    <col min="13824" max="14069" width="9.28515625" style="16"/>
    <col min="14070" max="14070" width="2.85546875" style="16" customWidth="1"/>
    <col min="14071" max="14071" width="5.28515625" style="16" customWidth="1"/>
    <col min="14072" max="14072" width="17.28515625" style="16" customWidth="1"/>
    <col min="14073" max="14073" width="57.85546875" style="16" customWidth="1"/>
    <col min="14074" max="14074" width="5.5703125" style="16" customWidth="1"/>
    <col min="14075" max="14075" width="12" style="16" customWidth="1"/>
    <col min="14076" max="14076" width="14.28515625" style="16" customWidth="1"/>
    <col min="14077" max="14077" width="12" style="16" customWidth="1"/>
    <col min="14078" max="14078" width="0.28515625" style="16" customWidth="1"/>
    <col min="14079" max="14079" width="18.28515625" style="16" customWidth="1"/>
    <col min="14080" max="14325" width="9.28515625" style="16"/>
    <col min="14326" max="14326" width="2.85546875" style="16" customWidth="1"/>
    <col min="14327" max="14327" width="5.28515625" style="16" customWidth="1"/>
    <col min="14328" max="14328" width="17.28515625" style="16" customWidth="1"/>
    <col min="14329" max="14329" width="57.85546875" style="16" customWidth="1"/>
    <col min="14330" max="14330" width="5.5703125" style="16" customWidth="1"/>
    <col min="14331" max="14331" width="12" style="16" customWidth="1"/>
    <col min="14332" max="14332" width="14.28515625" style="16" customWidth="1"/>
    <col min="14333" max="14333" width="12" style="16" customWidth="1"/>
    <col min="14334" max="14334" width="0.28515625" style="16" customWidth="1"/>
    <col min="14335" max="14335" width="18.28515625" style="16" customWidth="1"/>
    <col min="14336" max="14581" width="9.28515625" style="16"/>
    <col min="14582" max="14582" width="2.85546875" style="16" customWidth="1"/>
    <col min="14583" max="14583" width="5.28515625" style="16" customWidth="1"/>
    <col min="14584" max="14584" width="17.28515625" style="16" customWidth="1"/>
    <col min="14585" max="14585" width="57.85546875" style="16" customWidth="1"/>
    <col min="14586" max="14586" width="5.5703125" style="16" customWidth="1"/>
    <col min="14587" max="14587" width="12" style="16" customWidth="1"/>
    <col min="14588" max="14588" width="14.28515625" style="16" customWidth="1"/>
    <col min="14589" max="14589" width="12" style="16" customWidth="1"/>
    <col min="14590" max="14590" width="0.28515625" style="16" customWidth="1"/>
    <col min="14591" max="14591" width="18.28515625" style="16" customWidth="1"/>
    <col min="14592" max="14837" width="9.28515625" style="16"/>
    <col min="14838" max="14838" width="2.85546875" style="16" customWidth="1"/>
    <col min="14839" max="14839" width="5.28515625" style="16" customWidth="1"/>
    <col min="14840" max="14840" width="17.28515625" style="16" customWidth="1"/>
    <col min="14841" max="14841" width="57.85546875" style="16" customWidth="1"/>
    <col min="14842" max="14842" width="5.5703125" style="16" customWidth="1"/>
    <col min="14843" max="14843" width="12" style="16" customWidth="1"/>
    <col min="14844" max="14844" width="14.28515625" style="16" customWidth="1"/>
    <col min="14845" max="14845" width="12" style="16" customWidth="1"/>
    <col min="14846" max="14846" width="0.28515625" style="16" customWidth="1"/>
    <col min="14847" max="14847" width="18.28515625" style="16" customWidth="1"/>
    <col min="14848" max="15093" width="9.28515625" style="16"/>
    <col min="15094" max="15094" width="2.85546875" style="16" customWidth="1"/>
    <col min="15095" max="15095" width="5.28515625" style="16" customWidth="1"/>
    <col min="15096" max="15096" width="17.28515625" style="16" customWidth="1"/>
    <col min="15097" max="15097" width="57.85546875" style="16" customWidth="1"/>
    <col min="15098" max="15098" width="5.5703125" style="16" customWidth="1"/>
    <col min="15099" max="15099" width="12" style="16" customWidth="1"/>
    <col min="15100" max="15100" width="14.28515625" style="16" customWidth="1"/>
    <col min="15101" max="15101" width="12" style="16" customWidth="1"/>
    <col min="15102" max="15102" width="0.28515625" style="16" customWidth="1"/>
    <col min="15103" max="15103" width="18.28515625" style="16" customWidth="1"/>
    <col min="15104" max="15349" width="9.28515625" style="16"/>
    <col min="15350" max="15350" width="2.85546875" style="16" customWidth="1"/>
    <col min="15351" max="15351" width="5.28515625" style="16" customWidth="1"/>
    <col min="15352" max="15352" width="17.28515625" style="16" customWidth="1"/>
    <col min="15353" max="15353" width="57.85546875" style="16" customWidth="1"/>
    <col min="15354" max="15354" width="5.5703125" style="16" customWidth="1"/>
    <col min="15355" max="15355" width="12" style="16" customWidth="1"/>
    <col min="15356" max="15356" width="14.28515625" style="16" customWidth="1"/>
    <col min="15357" max="15357" width="12" style="16" customWidth="1"/>
    <col min="15358" max="15358" width="0.28515625" style="16" customWidth="1"/>
    <col min="15359" max="15359" width="18.28515625" style="16" customWidth="1"/>
    <col min="15360" max="15605" width="9.28515625" style="16"/>
    <col min="15606" max="15606" width="2.85546875" style="16" customWidth="1"/>
    <col min="15607" max="15607" width="5.28515625" style="16" customWidth="1"/>
    <col min="15608" max="15608" width="17.28515625" style="16" customWidth="1"/>
    <col min="15609" max="15609" width="57.85546875" style="16" customWidth="1"/>
    <col min="15610" max="15610" width="5.5703125" style="16" customWidth="1"/>
    <col min="15611" max="15611" width="12" style="16" customWidth="1"/>
    <col min="15612" max="15612" width="14.28515625" style="16" customWidth="1"/>
    <col min="15613" max="15613" width="12" style="16" customWidth="1"/>
    <col min="15614" max="15614" width="0.28515625" style="16" customWidth="1"/>
    <col min="15615" max="15615" width="18.28515625" style="16" customWidth="1"/>
    <col min="15616" max="15861" width="9.28515625" style="16"/>
    <col min="15862" max="15862" width="2.85546875" style="16" customWidth="1"/>
    <col min="15863" max="15863" width="5.28515625" style="16" customWidth="1"/>
    <col min="15864" max="15864" width="17.28515625" style="16" customWidth="1"/>
    <col min="15865" max="15865" width="57.85546875" style="16" customWidth="1"/>
    <col min="15866" max="15866" width="5.5703125" style="16" customWidth="1"/>
    <col min="15867" max="15867" width="12" style="16" customWidth="1"/>
    <col min="15868" max="15868" width="14.28515625" style="16" customWidth="1"/>
    <col min="15869" max="15869" width="12" style="16" customWidth="1"/>
    <col min="15870" max="15870" width="0.28515625" style="16" customWidth="1"/>
    <col min="15871" max="15871" width="18.28515625" style="16" customWidth="1"/>
    <col min="15872" max="16117" width="9.28515625" style="16"/>
    <col min="16118" max="16118" width="2.85546875" style="16" customWidth="1"/>
    <col min="16119" max="16119" width="5.28515625" style="16" customWidth="1"/>
    <col min="16120" max="16120" width="17.28515625" style="16" customWidth="1"/>
    <col min="16121" max="16121" width="57.85546875" style="16" customWidth="1"/>
    <col min="16122" max="16122" width="5.5703125" style="16" customWidth="1"/>
    <col min="16123" max="16123" width="12" style="16" customWidth="1"/>
    <col min="16124" max="16124" width="14.28515625" style="16" customWidth="1"/>
    <col min="16125" max="16125" width="12" style="16" customWidth="1"/>
    <col min="16126" max="16126" width="0.28515625" style="16" customWidth="1"/>
    <col min="16127" max="16127" width="18.28515625" style="16" customWidth="1"/>
    <col min="16128" max="16369" width="9.28515625" style="16"/>
    <col min="16370" max="16384" width="9.140625" style="16" customWidth="1"/>
  </cols>
  <sheetData>
    <row r="1" spans="2:18" s="3" customFormat="1" ht="92.45" customHeight="1" x14ac:dyDescent="0.2">
      <c r="B1" s="1"/>
      <c r="C1" s="2"/>
      <c r="D1" s="2"/>
      <c r="E1" s="2"/>
      <c r="F1" s="2"/>
      <c r="G1" s="2"/>
    </row>
    <row r="2" spans="2:18" s="3" customFormat="1" ht="3" customHeight="1" x14ac:dyDescent="0.25">
      <c r="B2" s="4"/>
      <c r="C2" s="4"/>
      <c r="D2" s="5"/>
      <c r="E2" s="4"/>
      <c r="F2" s="4"/>
      <c r="G2" s="4"/>
      <c r="H2" s="4"/>
      <c r="I2" s="4"/>
    </row>
    <row r="3" spans="2:18" s="7" customFormat="1" ht="25.7" customHeight="1" x14ac:dyDescent="0.25">
      <c r="B3" s="6" t="s">
        <v>0</v>
      </c>
      <c r="K3" s="8"/>
      <c r="L3" s="8"/>
      <c r="M3" s="8"/>
    </row>
    <row r="4" spans="2:18" s="7" customFormat="1" ht="20.100000000000001" hidden="1" customHeight="1" x14ac:dyDescent="0.25">
      <c r="B4" s="9" t="s">
        <v>1</v>
      </c>
      <c r="C4" s="10"/>
    </row>
    <row r="5" spans="2:18" s="7" customFormat="1" ht="22.5" hidden="1" customHeight="1" x14ac:dyDescent="0.25">
      <c r="B5" s="9" t="s">
        <v>2</v>
      </c>
      <c r="C5" s="10"/>
    </row>
    <row r="6" spans="2:18" s="7" customFormat="1" ht="25.35" customHeight="1" x14ac:dyDescent="0.25">
      <c r="B6" s="9" t="s">
        <v>3</v>
      </c>
      <c r="C6" s="10"/>
      <c r="R6" s="11" t="s">
        <v>4</v>
      </c>
    </row>
    <row r="7" spans="2:18" s="7" customFormat="1" ht="9.6" customHeight="1" x14ac:dyDescent="0.25">
      <c r="B7" s="12"/>
      <c r="C7" s="13"/>
      <c r="D7" s="13"/>
    </row>
    <row r="8" spans="2:18" ht="27" customHeight="1" x14ac:dyDescent="0.25">
      <c r="B8" s="14" t="s">
        <v>5</v>
      </c>
      <c r="C8" s="15"/>
      <c r="D8" s="15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2:18" s="18" customFormat="1" ht="54" customHeight="1" x14ac:dyDescent="0.25">
      <c r="B9" s="17" t="s">
        <v>6</v>
      </c>
      <c r="C9" s="17" t="s">
        <v>7</v>
      </c>
      <c r="D9" s="17" t="s">
        <v>8</v>
      </c>
      <c r="E9" s="17" t="s">
        <v>9</v>
      </c>
      <c r="F9" s="17" t="s">
        <v>10</v>
      </c>
      <c r="G9" s="17" t="s">
        <v>11</v>
      </c>
      <c r="H9" s="17" t="s">
        <v>12</v>
      </c>
      <c r="I9" s="17" t="s">
        <v>13</v>
      </c>
      <c r="J9" s="17" t="s">
        <v>14</v>
      </c>
      <c r="K9" s="17" t="s">
        <v>15</v>
      </c>
      <c r="L9" s="17" t="s">
        <v>16</v>
      </c>
      <c r="M9" s="17" t="s">
        <v>17</v>
      </c>
      <c r="N9" s="17" t="s">
        <v>16</v>
      </c>
      <c r="O9" s="17" t="s">
        <v>17</v>
      </c>
      <c r="P9" s="17" t="s">
        <v>18</v>
      </c>
      <c r="Q9" s="17" t="s">
        <v>19</v>
      </c>
      <c r="R9" s="17" t="s">
        <v>20</v>
      </c>
    </row>
    <row r="10" spans="2:18" s="18" customFormat="1" ht="22.35" hidden="1" customHeight="1" x14ac:dyDescent="0.25">
      <c r="B10" s="19" t="s">
        <v>21</v>
      </c>
      <c r="C10" s="20"/>
      <c r="D10" s="19"/>
      <c r="E10" s="19"/>
      <c r="F10" s="19"/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spans="2:18" s="26" customFormat="1" ht="147.4" customHeight="1" x14ac:dyDescent="0.25">
      <c r="B11" s="21">
        <v>1</v>
      </c>
      <c r="C11" s="22" t="s">
        <v>40</v>
      </c>
      <c r="D11" s="22" t="s">
        <v>41</v>
      </c>
      <c r="E11" s="22" t="s">
        <v>41</v>
      </c>
      <c r="F11" s="23">
        <v>0</v>
      </c>
      <c r="G11" s="21">
        <v>0</v>
      </c>
      <c r="H11" s="23" t="s">
        <v>42</v>
      </c>
      <c r="I11" s="23">
        <v>0</v>
      </c>
      <c r="J11" s="23" t="s">
        <v>43</v>
      </c>
      <c r="K11" s="23">
        <v>1</v>
      </c>
      <c r="L11" s="24">
        <v>125260000</v>
      </c>
      <c r="M11" s="23">
        <f>L11*K11</f>
        <v>125260000</v>
      </c>
      <c r="N11" s="23" t="e">
        <f>ROUND(INDEX(HH,MATCH(#REF!,MAHH,0),MATCH(N$9,COTHH,0)),-4)</f>
        <v>#REF!</v>
      </c>
      <c r="O11" s="23" t="e">
        <f t="shared" ref="O11:O12" si="0">K11*N11</f>
        <v>#REF!</v>
      </c>
      <c r="P11" s="25">
        <v>0.08</v>
      </c>
      <c r="Q11" s="23">
        <f t="shared" ref="Q11:Q12" si="1">P11*M11</f>
        <v>10020800</v>
      </c>
      <c r="R11" s="23">
        <f t="shared" ref="R11:R12" si="2">Q11+M11</f>
        <v>135280800</v>
      </c>
    </row>
    <row r="12" spans="2:18" s="26" customFormat="1" ht="112.35" customHeight="1" x14ac:dyDescent="0.25">
      <c r="B12" s="21">
        <v>2</v>
      </c>
      <c r="C12" s="22" t="s">
        <v>44</v>
      </c>
      <c r="D12" s="22" t="s">
        <v>45</v>
      </c>
      <c r="E12" s="22" t="s">
        <v>46</v>
      </c>
      <c r="F12" s="23">
        <v>0</v>
      </c>
      <c r="G12" s="21">
        <v>0</v>
      </c>
      <c r="H12" s="23" t="s">
        <v>42</v>
      </c>
      <c r="I12" s="23" t="e">
        <v>#REF!</v>
      </c>
      <c r="J12" s="23" t="s">
        <v>47</v>
      </c>
      <c r="K12" s="23">
        <v>1</v>
      </c>
      <c r="L12" s="24">
        <v>50229000</v>
      </c>
      <c r="M12" s="23">
        <f>L12*K12</f>
        <v>50229000</v>
      </c>
      <c r="N12" s="23" t="e">
        <f>ROUND(INDEX(HH,MATCH(#REF!,MAHH,0),MATCH(N$9,COTHH,0)),-4)</f>
        <v>#REF!</v>
      </c>
      <c r="O12" s="23" t="e">
        <f t="shared" si="0"/>
        <v>#REF!</v>
      </c>
      <c r="P12" s="25"/>
      <c r="Q12" s="23">
        <f t="shared" si="1"/>
        <v>0</v>
      </c>
      <c r="R12" s="23">
        <f t="shared" si="2"/>
        <v>50229000</v>
      </c>
    </row>
    <row r="13" spans="2:18" s="29" customFormat="1" ht="27.95" customHeight="1" x14ac:dyDescent="0.25">
      <c r="B13" s="61" t="s">
        <v>22</v>
      </c>
      <c r="C13" s="62"/>
      <c r="D13" s="62"/>
      <c r="E13" s="63"/>
      <c r="F13" s="27"/>
      <c r="G13" s="27"/>
      <c r="H13" s="27"/>
      <c r="I13" s="27"/>
      <c r="J13" s="27"/>
      <c r="K13" s="27"/>
      <c r="L13" s="27"/>
      <c r="M13" s="28">
        <f>SUM(M11:M12)</f>
        <v>175489000</v>
      </c>
      <c r="N13" s="27"/>
      <c r="O13" s="28" t="e">
        <f>SUM(O11:O11)</f>
        <v>#REF!</v>
      </c>
      <c r="P13" s="28"/>
      <c r="Q13" s="28">
        <f>SUM(Q11:Q12)</f>
        <v>10020800</v>
      </c>
      <c r="R13" s="28">
        <f>SUM(R11:R12)</f>
        <v>185509800</v>
      </c>
    </row>
    <row r="14" spans="2:18" ht="19.350000000000001" customHeight="1" x14ac:dyDescent="0.25">
      <c r="B14" s="30"/>
      <c r="C14" s="30"/>
      <c r="D14" s="15"/>
      <c r="E14" s="15"/>
      <c r="F14" s="15"/>
      <c r="G14" s="15"/>
      <c r="H14" s="15"/>
      <c r="I14" s="31"/>
      <c r="J14" s="31"/>
      <c r="K14" s="32"/>
      <c r="L14" s="32"/>
      <c r="M14" s="32"/>
      <c r="N14" s="15"/>
      <c r="O14" s="15"/>
      <c r="P14" s="15"/>
      <c r="Q14" s="15"/>
    </row>
    <row r="15" spans="2:18" ht="15" customHeight="1" x14ac:dyDescent="0.25">
      <c r="B15" s="33" t="s">
        <v>23</v>
      </c>
      <c r="C15" s="15"/>
      <c r="D15" s="15"/>
      <c r="E15" s="15"/>
      <c r="F15" s="15"/>
      <c r="G15" s="15"/>
      <c r="H15" s="31"/>
      <c r="I15" s="15"/>
      <c r="J15" s="15"/>
      <c r="K15" s="34"/>
      <c r="L15" s="34"/>
      <c r="M15" s="34"/>
      <c r="N15" s="15"/>
      <c r="O15" s="15"/>
      <c r="P15" s="35"/>
      <c r="Q15" s="35"/>
      <c r="R15" s="36"/>
    </row>
    <row r="16" spans="2:18" ht="15" customHeight="1" x14ac:dyDescent="0.25">
      <c r="B16" s="37" t="s">
        <v>24</v>
      </c>
      <c r="C16" s="15"/>
      <c r="D16" s="15"/>
      <c r="E16" s="15"/>
      <c r="F16" s="15"/>
      <c r="G16" s="15"/>
      <c r="H16" s="31"/>
      <c r="I16" s="15"/>
      <c r="J16" s="15"/>
      <c r="K16" s="34"/>
      <c r="L16" s="34"/>
      <c r="M16" s="34"/>
      <c r="N16" s="15"/>
      <c r="O16" s="15"/>
      <c r="P16" s="16"/>
      <c r="Q16" s="16"/>
    </row>
    <row r="17" spans="2:17" ht="15" customHeight="1" x14ac:dyDescent="0.25">
      <c r="B17" s="37" t="s">
        <v>25</v>
      </c>
      <c r="C17" s="15"/>
      <c r="D17" s="15"/>
      <c r="E17" s="15"/>
      <c r="F17" s="15"/>
      <c r="G17" s="15"/>
      <c r="H17" s="31"/>
      <c r="I17" s="15"/>
      <c r="J17" s="15"/>
      <c r="K17" s="34"/>
      <c r="L17" s="34"/>
      <c r="M17" s="34"/>
      <c r="N17" s="15"/>
      <c r="O17" s="15"/>
      <c r="P17" s="16"/>
      <c r="Q17" s="16"/>
    </row>
    <row r="18" spans="2:17" ht="15" customHeight="1" x14ac:dyDescent="0.25">
      <c r="B18" s="37" t="s">
        <v>26</v>
      </c>
      <c r="C18" s="15"/>
      <c r="D18" s="15"/>
      <c r="E18" s="15"/>
      <c r="F18" s="15"/>
      <c r="G18" s="15"/>
      <c r="H18" s="31"/>
      <c r="I18" s="15"/>
      <c r="J18" s="15"/>
      <c r="K18" s="34"/>
      <c r="L18" s="34"/>
      <c r="M18" s="34"/>
      <c r="N18" s="15"/>
      <c r="O18" s="15"/>
      <c r="P18" s="16"/>
      <c r="Q18" s="16"/>
    </row>
    <row r="19" spans="2:17" ht="19.149999999999999" customHeight="1" x14ac:dyDescent="0.25">
      <c r="B19" s="39" t="s">
        <v>27</v>
      </c>
      <c r="C19" s="40"/>
      <c r="D19" s="40"/>
      <c r="E19" s="40"/>
      <c r="F19" s="40"/>
      <c r="G19" s="40"/>
      <c r="H19" s="40"/>
      <c r="I19" s="40"/>
      <c r="J19" s="40"/>
      <c r="K19" s="41"/>
      <c r="L19" s="41"/>
      <c r="M19" s="41"/>
      <c r="N19" s="40"/>
      <c r="O19" s="40"/>
      <c r="P19" s="16"/>
      <c r="Q19" s="16"/>
    </row>
    <row r="20" spans="2:17" ht="15" customHeight="1" x14ac:dyDescent="0.2">
      <c r="B20" s="42" t="s">
        <v>28</v>
      </c>
      <c r="C20" s="15"/>
      <c r="D20" s="15"/>
      <c r="E20" s="15"/>
      <c r="F20" s="15"/>
      <c r="G20" s="15"/>
      <c r="H20" s="31"/>
      <c r="I20" s="15"/>
      <c r="J20" s="15"/>
      <c r="K20" s="34"/>
      <c r="L20" s="34"/>
      <c r="M20" s="34"/>
      <c r="N20" s="15"/>
      <c r="O20" s="15"/>
      <c r="P20" s="16"/>
      <c r="Q20" s="16"/>
    </row>
    <row r="21" spans="2:17" ht="15" customHeight="1" x14ac:dyDescent="0.2">
      <c r="B21" s="42" t="s">
        <v>29</v>
      </c>
      <c r="C21" s="15"/>
      <c r="D21" s="15"/>
      <c r="E21" s="15"/>
      <c r="F21" s="15"/>
      <c r="G21" s="15"/>
      <c r="H21" s="31"/>
      <c r="I21" s="15"/>
      <c r="J21" s="15"/>
      <c r="K21" s="34"/>
      <c r="L21" s="34"/>
      <c r="M21" s="34"/>
      <c r="N21" s="15"/>
      <c r="O21" s="15"/>
      <c r="P21" s="16"/>
      <c r="Q21" s="16"/>
    </row>
    <row r="22" spans="2:17" x14ac:dyDescent="0.2">
      <c r="B22" s="42" t="s">
        <v>30</v>
      </c>
      <c r="C22" s="15"/>
      <c r="D22" s="15"/>
      <c r="E22" s="15"/>
      <c r="F22" s="15"/>
      <c r="G22" s="15"/>
      <c r="H22" s="31"/>
      <c r="I22" s="15"/>
      <c r="J22" s="15"/>
      <c r="K22" s="34"/>
      <c r="L22" s="34"/>
      <c r="M22" s="34"/>
      <c r="N22" s="15"/>
      <c r="O22" s="15"/>
      <c r="P22" s="16"/>
      <c r="Q22" s="16"/>
    </row>
    <row r="23" spans="2:17" hidden="1" x14ac:dyDescent="0.2">
      <c r="B23" s="42"/>
      <c r="C23" s="15"/>
      <c r="D23" s="15"/>
      <c r="E23" s="15"/>
      <c r="F23" s="15"/>
      <c r="G23" s="15"/>
      <c r="H23" s="31"/>
      <c r="I23" s="15"/>
      <c r="J23" s="15"/>
      <c r="K23" s="34"/>
      <c r="L23" s="34"/>
      <c r="M23" s="34"/>
      <c r="N23" s="15"/>
      <c r="O23" s="15"/>
      <c r="P23" s="16"/>
      <c r="Q23" s="16"/>
    </row>
    <row r="24" spans="2:17" ht="15" customHeight="1" x14ac:dyDescent="0.2">
      <c r="B24" s="38" t="s">
        <v>31</v>
      </c>
      <c r="C24" s="15"/>
      <c r="D24" s="15"/>
      <c r="E24" s="15"/>
      <c r="F24" s="15"/>
      <c r="G24" s="15"/>
      <c r="H24" s="31"/>
      <c r="I24" s="15"/>
      <c r="J24" s="15"/>
      <c r="K24" s="34"/>
      <c r="L24" s="34"/>
      <c r="M24" s="34"/>
      <c r="N24" s="15"/>
      <c r="O24" s="15"/>
      <c r="P24" s="16"/>
      <c r="Q24" s="16"/>
    </row>
    <row r="25" spans="2:17" ht="18.600000000000001" customHeight="1" x14ac:dyDescent="0.25">
      <c r="B25" s="43" t="s">
        <v>32</v>
      </c>
      <c r="C25" s="15"/>
      <c r="D25" s="15"/>
      <c r="E25" s="15"/>
      <c r="F25" s="15"/>
      <c r="G25" s="15"/>
      <c r="H25" s="31"/>
      <c r="I25" s="15"/>
      <c r="J25" s="15"/>
      <c r="K25" s="34"/>
      <c r="L25" s="34"/>
      <c r="M25" s="34"/>
      <c r="N25" s="15"/>
      <c r="O25" s="15"/>
      <c r="P25" s="16"/>
      <c r="Q25" s="16"/>
    </row>
    <row r="26" spans="2:17" ht="23.1" customHeight="1" x14ac:dyDescent="0.25">
      <c r="B26" s="44" t="s">
        <v>33</v>
      </c>
      <c r="C26" s="15"/>
      <c r="D26" s="15"/>
      <c r="E26" s="15"/>
      <c r="F26" s="15"/>
      <c r="G26" s="15"/>
      <c r="H26" s="31"/>
      <c r="I26" s="15"/>
      <c r="J26" s="15"/>
      <c r="K26" s="34"/>
      <c r="L26" s="34"/>
      <c r="M26" s="34"/>
      <c r="N26" s="15"/>
      <c r="O26" s="15"/>
      <c r="P26" s="16"/>
      <c r="Q26" s="16"/>
    </row>
    <row r="27" spans="2:17" ht="4.5" customHeight="1" x14ac:dyDescent="0.25">
      <c r="B27" s="44"/>
      <c r="C27" s="15"/>
      <c r="D27" s="15"/>
      <c r="E27" s="15"/>
      <c r="F27" s="15"/>
      <c r="G27" s="15"/>
      <c r="H27" s="31"/>
      <c r="I27" s="15"/>
      <c r="J27" s="15"/>
      <c r="K27" s="34"/>
      <c r="L27" s="34"/>
      <c r="M27" s="34"/>
      <c r="N27" s="15"/>
      <c r="O27" s="15"/>
      <c r="P27" s="16"/>
      <c r="Q27" s="16"/>
    </row>
    <row r="28" spans="2:17" ht="12.4" hidden="1" customHeight="1" x14ac:dyDescent="0.25">
      <c r="B28" s="44"/>
      <c r="C28" s="15"/>
      <c r="D28" s="15"/>
      <c r="E28" s="15"/>
      <c r="F28" s="15"/>
      <c r="G28" s="15"/>
      <c r="H28" s="31"/>
      <c r="I28" s="15"/>
      <c r="J28" s="15"/>
      <c r="K28" s="34"/>
      <c r="L28" s="34"/>
      <c r="M28" s="34"/>
      <c r="N28" s="15"/>
      <c r="O28" s="15"/>
      <c r="P28" s="16"/>
      <c r="Q28" s="16"/>
    </row>
    <row r="29" spans="2:17" ht="33.950000000000003" customHeight="1" x14ac:dyDescent="0.25">
      <c r="B29" s="45"/>
      <c r="D29" s="64"/>
      <c r="E29" s="64"/>
      <c r="F29" s="64"/>
      <c r="G29" s="64"/>
      <c r="H29" s="64"/>
      <c r="I29" s="65"/>
      <c r="J29" s="46"/>
      <c r="K29" s="47"/>
      <c r="L29" s="47"/>
      <c r="M29" s="47"/>
      <c r="N29" s="16"/>
      <c r="O29" s="16"/>
      <c r="P29" s="16"/>
      <c r="Q29" s="16"/>
    </row>
    <row r="30" spans="2:17" hidden="1" x14ac:dyDescent="0.25">
      <c r="D30" s="15"/>
      <c r="E30" s="15"/>
      <c r="F30" s="48"/>
      <c r="G30" s="48"/>
      <c r="H30" s="15"/>
      <c r="I30" s="46"/>
      <c r="J30" s="46"/>
      <c r="K30" s="47"/>
      <c r="L30" s="47"/>
      <c r="M30" s="47"/>
      <c r="N30" s="16"/>
      <c r="O30" s="16"/>
      <c r="P30" s="16"/>
      <c r="Q30" s="16"/>
    </row>
    <row r="31" spans="2:17" ht="3.4" hidden="1" customHeight="1" x14ac:dyDescent="0.25">
      <c r="D31" s="15"/>
      <c r="E31" s="15"/>
      <c r="F31" s="48"/>
      <c r="G31" s="48"/>
      <c r="H31" s="15"/>
      <c r="I31" s="46"/>
      <c r="J31" s="46"/>
      <c r="K31" s="47"/>
      <c r="L31" s="47"/>
      <c r="M31" s="47"/>
      <c r="N31" s="16"/>
      <c r="O31" s="16"/>
      <c r="P31" s="16"/>
      <c r="Q31" s="16"/>
    </row>
    <row r="32" spans="2:17" ht="6.75" hidden="1" customHeight="1" x14ac:dyDescent="0.25">
      <c r="D32" s="49"/>
      <c r="E32" s="49"/>
      <c r="F32" s="16"/>
      <c r="G32" s="16"/>
      <c r="H32" s="16"/>
      <c r="N32" s="16"/>
      <c r="O32" s="16"/>
      <c r="P32" s="16"/>
      <c r="Q32" s="16"/>
    </row>
    <row r="33" spans="2:18" s="51" customFormat="1" ht="11.1" hidden="1" customHeight="1" x14ac:dyDescent="0.25">
      <c r="E33" s="52"/>
      <c r="I33" s="53"/>
      <c r="J33" s="53"/>
      <c r="K33" s="54"/>
      <c r="L33" s="54"/>
      <c r="M33" s="54"/>
    </row>
    <row r="34" spans="2:18" s="51" customFormat="1" ht="19.350000000000001" customHeight="1" x14ac:dyDescent="0.2">
      <c r="B34" s="55" t="s">
        <v>34</v>
      </c>
      <c r="E34" s="52"/>
      <c r="F34" s="56"/>
      <c r="G34" s="56"/>
      <c r="H34" s="56"/>
      <c r="I34" s="53"/>
      <c r="J34" s="53"/>
      <c r="K34" s="54"/>
      <c r="L34" s="54"/>
      <c r="M34" s="54"/>
      <c r="O34" s="64" t="s">
        <v>35</v>
      </c>
      <c r="P34" s="64"/>
      <c r="Q34" s="64"/>
      <c r="R34" s="64"/>
    </row>
    <row r="35" spans="2:18" ht="2.4500000000000002" customHeight="1" x14ac:dyDescent="0.25">
      <c r="D35" s="49"/>
      <c r="E35" s="49"/>
      <c r="F35" s="48"/>
      <c r="G35" s="48"/>
      <c r="H35" s="49"/>
      <c r="N35" s="16"/>
      <c r="O35" s="16"/>
      <c r="P35" s="16"/>
      <c r="Q35" s="16"/>
    </row>
    <row r="36" spans="2:18" ht="15" customHeight="1" x14ac:dyDescent="0.25">
      <c r="B36" s="51" t="s">
        <v>36</v>
      </c>
      <c r="D36" s="49"/>
      <c r="E36" s="49"/>
      <c r="F36" s="48"/>
      <c r="G36" s="48"/>
      <c r="H36" s="49"/>
      <c r="N36" s="16"/>
      <c r="O36" s="16"/>
      <c r="P36" s="16"/>
      <c r="Q36" s="16"/>
    </row>
    <row r="37" spans="2:18" ht="15" customHeight="1" x14ac:dyDescent="0.25">
      <c r="B37" s="57" t="s">
        <v>37</v>
      </c>
      <c r="D37" s="49"/>
      <c r="E37" s="49"/>
      <c r="F37" s="48"/>
      <c r="G37" s="48"/>
      <c r="H37" s="49"/>
      <c r="N37" s="16"/>
      <c r="O37" s="16"/>
      <c r="P37" s="16"/>
      <c r="Q37" s="16"/>
    </row>
    <row r="38" spans="2:18" ht="15.75" customHeight="1" x14ac:dyDescent="0.25">
      <c r="B38" s="58" t="s">
        <v>38</v>
      </c>
      <c r="D38" s="49"/>
      <c r="E38" s="49"/>
      <c r="F38" s="48"/>
      <c r="G38" s="48"/>
      <c r="H38" s="49"/>
      <c r="N38" s="16"/>
      <c r="O38" s="16"/>
      <c r="P38" s="16"/>
      <c r="Q38" s="16"/>
    </row>
    <row r="39" spans="2:18" s="51" customFormat="1" ht="14.25" x14ac:dyDescent="0.2">
      <c r="C39" s="59" t="s">
        <v>39</v>
      </c>
      <c r="E39" s="52"/>
      <c r="F39" s="52"/>
      <c r="G39" s="52"/>
      <c r="K39" s="60"/>
      <c r="L39" s="60"/>
      <c r="M39" s="60"/>
    </row>
    <row r="40" spans="2:18" ht="15" customHeight="1" x14ac:dyDescent="0.25"/>
  </sheetData>
  <mergeCells count="3">
    <mergeCell ref="B13:E13"/>
    <mergeCell ref="D29:I29"/>
    <mergeCell ref="O34:R34"/>
  </mergeCells>
  <hyperlinks>
    <hyperlink ref="B38" r:id="rId1" display="http://www.ntssi.vn/" xr:uid="{08C3719B-01E9-40D0-BF8D-26EF2EA540F1}"/>
  </hyperlinks>
  <pageMargins left="0.31496062992126" right="0.23622047244094499" top="0.31496062992126" bottom="0.196850393700787" header="0.23622047244094499" footer="0.15748031496063"/>
  <pageSetup paperSize="9" scale="7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PTSC</vt:lpstr>
      <vt:lpstr>PTSC!Print_Area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Sơn Lê</dc:creator>
  <cp:lastModifiedBy>2051120086 - Nguyễn Võ Đình Anh - CN20A</cp:lastModifiedBy>
  <dcterms:created xsi:type="dcterms:W3CDTF">2026-05-13T09:50:14Z</dcterms:created>
  <dcterms:modified xsi:type="dcterms:W3CDTF">2026-05-17T03:34:52Z</dcterms:modified>
</cp:coreProperties>
</file>