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95BE617-89FC-4C8A-A84B-1A8E2FF6C5F9}" xr6:coauthVersionLast="47" xr6:coauthVersionMax="47" xr10:uidLastSave="{00000000-0000-0000-0000-000000000000}"/>
  <bookViews>
    <workbookView xWindow="-120" yWindow="-120" windowWidth="29040" windowHeight="15720" tabRatio="953" activeTab="4" xr2:uid="{00000000-000D-0000-FFFF-FFFF00000000}"/>
  </bookViews>
  <sheets>
    <sheet name="XGS - Desktop" sheetId="1" r:id="rId1"/>
    <sheet name="XGS - 1U" sheetId="3" r:id="rId2"/>
    <sheet name="XGS - 2U" sheetId="4" r:id="rId3"/>
    <sheet name="Virtual FW" sheetId="6" r:id="rId4"/>
    <sheet name="ZTNA - NDR - Central Reporting" sheetId="7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8" i="3" l="1"/>
  <c r="D33" i="1"/>
  <c r="D47" i="3"/>
  <c r="D45" i="3"/>
</calcChain>
</file>

<file path=xl/sharedStrings.xml><?xml version="1.0" encoding="utf-8"?>
<sst xmlns="http://schemas.openxmlformats.org/spreadsheetml/2006/main" count="274" uniqueCount="192">
  <si>
    <t>STT</t>
  </si>
  <si>
    <r>
      <rPr>
        <b/>
        <sz val="11"/>
        <color theme="1"/>
        <rFont val="Aptos Narrow"/>
        <family val="2"/>
        <scheme val="minor"/>
      </rPr>
      <t>1-Year Xstream Protection Subscription for XGS 88: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</si>
  <si>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88 Hardware Appliance:</t>
    </r>
    <r>
      <rPr>
        <sz val="11"/>
        <color theme="1"/>
        <rFont val="Aptos Narrow"/>
        <family val="2"/>
        <scheme val="minor"/>
      </rPr>
      <t xml:space="preserve">
XGS 88 HW appliance with 4x 2.5GE ports, flash memory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</si>
  <si>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XGS108: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</si>
  <si>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108 Hardware Appliance:</t>
    </r>
    <r>
      <rPr>
        <sz val="11"/>
        <color theme="1"/>
        <rFont val="Aptos Narrow"/>
        <family val="2"/>
        <scheme val="minor"/>
      </rPr>
      <t xml:space="preserve">
XGS 108 HW Appliance with 6x 2.5GE + 1 SFP port, SSD + Base License (incl. FW, VPN, and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</si>
  <si>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XGS118: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</si>
  <si>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118 Hardware Appliance:</t>
    </r>
    <r>
      <rPr>
        <sz val="11"/>
        <color theme="1"/>
        <rFont val="Aptos Narrow"/>
        <family val="2"/>
        <scheme val="minor"/>
      </rPr>
      <t xml:space="preserve">
XGS 118 HW Appliance with  9x 2.5GE + 1 SFP port, 1 expansion bay for optional 5G module, SSD + Base License (incl. FW, VPN, and Wireless) for unlimited users + power cable.</t>
    </r>
  </si>
  <si>
    <t>MÃ SP</t>
  </si>
  <si>
    <t>MÔ TẢ SẢN PHẨM</t>
  </si>
  <si>
    <t>GIÁ THAM KHẢO (USD)</t>
  </si>
  <si>
    <r>
      <rPr>
        <b/>
        <sz val="11"/>
        <color theme="1"/>
        <rFont val="Aptos Narrow"/>
        <family val="2"/>
        <scheme val="minor"/>
      </rPr>
      <t>1-Year Xstream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</si>
  <si>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</si>
  <si>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128 Hardware Appliance:</t>
    </r>
    <r>
      <rPr>
        <sz val="11"/>
        <color theme="1"/>
        <rFont val="Aptos Narrow"/>
        <family val="2"/>
        <scheme val="minor"/>
      </rPr>
      <t xml:space="preserve">
XGS 128 HW Appliance with  9x 2.5GE + 1 SFP port,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</si>
  <si>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Sophos XGS 138 Hardware Appliance:</t>
    </r>
    <r>
      <rPr>
        <sz val="11"/>
        <color theme="1"/>
        <rFont val="Aptos Narrow"/>
        <family val="2"/>
        <scheme val="minor"/>
      </rPr>
      <t xml:space="preserve">
XGS 138 HW Appliance with 4 GE + 2x 2.5GE + 2 SFP+ ports, 1 expansion bay for optional 5G module, SSD + Base License (incl. FW, VPN, and Wireless) for unlimited users + power cable</t>
    </r>
  </si>
  <si>
    <r>
      <rPr>
        <b/>
        <sz val="11"/>
        <color theme="1"/>
        <rFont val="Aptos Narrow"/>
        <family val="2"/>
        <scheme val="minor"/>
      </rPr>
      <t>1-Year Xstream Protection Subscription for XGS 2100: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</si>
  <si>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Sophos XGS 2100 Hardware Appliance:</t>
    </r>
    <r>
      <rPr>
        <sz val="11"/>
        <color theme="1"/>
        <rFont val="Aptos Narrow"/>
        <family val="2"/>
        <scheme val="minor"/>
      </rPr>
      <t xml:space="preserve">
XGS 2100 HW Appliance with 8 GE + 2 SFP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</si>
  <si>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2300 Hardware Appliance:</t>
    </r>
    <r>
      <rPr>
        <sz val="11"/>
        <color theme="1"/>
        <rFont val="Aptos Narrow"/>
        <family val="2"/>
        <scheme val="minor"/>
      </rPr>
      <t xml:space="preserve">
XGS 2300 HW Appliance with 8 GE + 2 SFP ports, 1 expansion bay for optional Flexi Port module, SSD + Base License (incl. FW, VPN &amp; Wireless) for unlimited users + power cable.</t>
    </r>
  </si>
  <si>
    <t>Sophos XGS3100</t>
  </si>
  <si>
    <t>XGS3100</t>
  </si>
  <si>
    <r>
      <rPr>
        <b/>
        <sz val="11"/>
        <color theme="1"/>
        <rFont val="Aptos Narrow"/>
        <family val="2"/>
        <scheme val="minor"/>
      </rPr>
      <t>1-Year Xstream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</si>
  <si>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XGS3300</t>
  </si>
  <si>
    <r>
      <rPr>
        <b/>
        <sz val="11"/>
        <color theme="1"/>
        <rFont val="Aptos Narrow"/>
        <family val="2"/>
        <scheme val="minor"/>
      </rPr>
      <t>Sophos XGS 3100 Hardware Appliance:</t>
    </r>
    <r>
      <rPr>
        <sz val="11"/>
        <color theme="1"/>
        <rFont val="Aptos Narrow"/>
        <family val="2"/>
        <scheme val="minor"/>
      </rPr>
      <t xml:space="preserve">
XGS 3100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</si>
  <si>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3300 Hardware Appliance:</t>
    </r>
    <r>
      <rPr>
        <sz val="11"/>
        <color theme="1"/>
        <rFont val="Aptos Narrow"/>
        <family val="2"/>
        <scheme val="minor"/>
      </rPr>
      <t xml:space="preserve">
XGS 3300 HW Appliance with 8 GE + 2 SFP + 2 SFP+ ports, 1 expansion bay for optional Flexi Port module,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</si>
  <si>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4300 Hardware Appliance:</t>
    </r>
    <r>
      <rPr>
        <sz val="11"/>
        <color theme="1"/>
        <rFont val="Aptos Narrow"/>
        <family val="2"/>
        <scheme val="minor"/>
      </rPr>
      <t xml:space="preserve">
XGS 4300 HW Appliance with 4 GE + 4x 2.5GE + 4 SFP+ ports, 2 expansion bays for optional Flexi Port modules,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</si>
  <si>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Sophos XGS 4500 Hardware Appliance:</t>
    </r>
    <r>
      <rPr>
        <sz val="11"/>
        <color theme="1"/>
        <rFont val="Aptos Narrow"/>
        <family val="2"/>
        <scheme val="minor"/>
      </rPr>
      <t xml:space="preserve">
XGS 4500 HW Appliance with 4 GE + 4x 2.5GE + 4 SFP+ ports, 2 expansion bays for optional Flexi Port modules, 2 x SSD + Base License (incl. FW, VPN &amp; Wireless) for unlimited users + power cable.</t>
    </r>
  </si>
  <si>
    <r>
      <rPr>
        <b/>
        <sz val="11"/>
        <color theme="1"/>
        <rFont val="Aptos Narrow"/>
        <family val="2"/>
        <scheme val="minor"/>
      </rPr>
      <t>1-Year Xstream Protection Subscription for XGS 2300: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</si>
  <si>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3300: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</si>
  <si>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Xstream Protection Subscription for XGS 4300: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</si>
  <si>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XGS 88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</si>
  <si>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88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</si>
  <si>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108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</si>
  <si>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108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</si>
  <si>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118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</si>
  <si>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118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</si>
  <si>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128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</si>
  <si>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128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</si>
  <si>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138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</si>
  <si>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138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</si>
  <si>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1-CORE</t>
  </si>
  <si>
    <r>
      <rPr>
        <b/>
        <sz val="11"/>
        <color theme="1"/>
        <rFont val="Aptos Narrow"/>
        <family val="2"/>
        <scheme val="minor"/>
      </rPr>
      <t>1-Year Xstream Protection Subscription for SFv1C4: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</si>
  <si>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SFv1C4</t>
  </si>
  <si>
    <r>
      <rPr>
        <b/>
        <sz val="11"/>
        <color theme="1"/>
        <rFont val="Aptos Narrow"/>
        <family val="2"/>
        <scheme val="minor"/>
      </rPr>
      <t>SF SW/Virtual UP TO 1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</si>
  <si>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Email Protection Subscription for SFv1C4: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</si>
  <si>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SFv1C4:
</t>
    </r>
    <r>
      <rPr>
        <sz val="11"/>
        <color theme="1"/>
        <rFont val="Aptos Narrow"/>
        <family val="2"/>
        <scheme val="minor"/>
      </rPr>
      <t>Features: Web Application Firewall.</t>
    </r>
  </si>
  <si>
    <t>SFv2C4</t>
  </si>
  <si>
    <t>Sophos Virtual/Software Firewall 2 CORES</t>
  </si>
  <si>
    <r>
      <rPr>
        <b/>
        <sz val="11"/>
        <color theme="1"/>
        <rFont val="Aptos Narrow"/>
        <family val="2"/>
        <scheme val="minor"/>
      </rPr>
      <t>SF SW/Virtual UP TO 2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</si>
  <si>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SFv2C4: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</si>
  <si>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SFv2C4: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</si>
  <si>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SFv2C4: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</si>
  <si>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4 CORES</t>
  </si>
  <si>
    <r>
      <rPr>
        <b/>
        <sz val="11"/>
        <color theme="1"/>
        <rFont val="Aptos Narrow"/>
        <family val="2"/>
        <scheme val="minor"/>
      </rPr>
      <t>SF SW/Virtual UP TO 4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</si>
  <si>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SFv4C6: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</si>
  <si>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SFv4C6: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</si>
  <si>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SFv4C6:
</t>
    </r>
    <r>
      <rPr>
        <sz val="11"/>
        <color theme="1"/>
        <rFont val="Aptos Narrow"/>
        <family val="2"/>
        <scheme val="minor"/>
      </rPr>
      <t>Features: Web Application Firewall.</t>
    </r>
  </si>
  <si>
    <t>SFv4C6</t>
  </si>
  <si>
    <t>Sophos Virtual/Software Firewall 6 CORES</t>
  </si>
  <si>
    <r>
      <rPr>
        <b/>
        <sz val="11"/>
        <color theme="1"/>
        <rFont val="Aptos Narrow"/>
        <family val="2"/>
        <scheme val="minor"/>
      </rPr>
      <t>SF SW/Virtual UP TO 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</si>
  <si>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SFv6C8</t>
  </si>
  <si>
    <r>
      <rPr>
        <b/>
        <sz val="11"/>
        <color theme="1"/>
        <rFont val="Aptos Narrow"/>
        <family val="2"/>
        <scheme val="minor"/>
      </rPr>
      <t>1-Year Xstream Protection Subscription for SFv6C8: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</si>
  <si>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SFv6C8: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</si>
  <si>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SFv6C8: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</si>
  <si>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8 CORES</t>
  </si>
  <si>
    <r>
      <rPr>
        <b/>
        <sz val="11"/>
        <color theme="1"/>
        <rFont val="Aptos Narrow"/>
        <family val="2"/>
        <scheme val="minor"/>
      </rPr>
      <t>SF SW/Virtual UP TO 8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</si>
  <si>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t>SFv8C16</t>
  </si>
  <si>
    <r>
      <rPr>
        <b/>
        <sz val="11"/>
        <color theme="1"/>
        <rFont val="Aptos Narrow"/>
        <family val="2"/>
        <scheme val="minor"/>
      </rPr>
      <t>1-Year Xstream Protection Subscription for SFv8C16: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</si>
  <si>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SFv8C16: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</si>
  <si>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SFv8C16: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</si>
  <si>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16 CORES</t>
  </si>
  <si>
    <r>
      <rPr>
        <b/>
        <sz val="11"/>
        <color theme="1"/>
        <rFont val="Aptos Narrow"/>
        <family val="2"/>
        <scheme val="minor"/>
      </rPr>
      <t>SF SW/Virtual UP TO 16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</si>
  <si>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SFv16C24: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</si>
  <si>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t>SFv16C24</t>
  </si>
  <si>
    <r>
      <rPr>
        <b/>
        <sz val="11"/>
        <color theme="1"/>
        <rFont val="Aptos Narrow"/>
        <family val="2"/>
        <scheme val="minor"/>
      </rPr>
      <t>1-Year Email Protection Subscription for SFv16C24: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</si>
  <si>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SFv16C24:
</t>
    </r>
    <r>
      <rPr>
        <sz val="11"/>
        <color theme="1"/>
        <rFont val="Aptos Narrow"/>
        <family val="2"/>
        <scheme val="minor"/>
      </rPr>
      <t>Features: Web Application Firewall.</t>
    </r>
  </si>
  <si>
    <t>Sophos Virtual/Software Firewall Unlimited CORES</t>
  </si>
  <si>
    <t>SFv-Unlimited</t>
  </si>
  <si>
    <r>
      <rPr>
        <b/>
        <sz val="11"/>
        <color theme="1"/>
        <rFont val="Aptos Narrow"/>
        <family val="2"/>
        <scheme val="minor"/>
      </rPr>
      <t>SF SW/Virtual Firewall Unlimited CORE:</t>
    </r>
    <r>
      <rPr>
        <sz val="11"/>
        <color theme="1"/>
        <rFont val="Aptos Narrow"/>
        <family val="2"/>
        <scheme val="minor"/>
      </rPr>
      <t xml:space="preserve">
- Base License: Networking, wireless, Xstream Architecture, unlimited remote access VPN, site-to-site VPN, reporting</t>
    </r>
  </si>
  <si>
    <r>
      <rPr>
        <b/>
        <sz val="11"/>
        <color theme="1"/>
        <rFont val="Aptos Narrow"/>
        <family val="2"/>
        <scheme val="minor"/>
      </rPr>
      <t>1-Year Xstream Protection Subscription for SFv-Unlimited: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</si>
  <si>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Email Protection Subscription for SFv-Unlimited: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</si>
  <si>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SFv-Unlimited: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</si>
  <si>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</si>
  <si>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</si>
  <si>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2300: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</si>
  <si>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2300: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</si>
  <si>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3100: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</si>
  <si>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3100: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</si>
  <si>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3300: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</si>
  <si>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3300: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</si>
  <si>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4300: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</si>
  <si>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 xml:space="preserve">1-Year Webserver Protection Subscription for XGS 4300: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</si>
  <si>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Email Protection Subscription for XGS 4500:</t>
    </r>
    <r>
      <rPr>
        <sz val="11"/>
        <color theme="1"/>
        <rFont val="Aptos Narrow"/>
        <family val="2"/>
        <scheme val="minor"/>
      </rPr>
      <t xml:space="preserve">
Features: On-box antispam, AV, DLP, Email encryption.</t>
    </r>
  </si>
  <si>
    <r>
      <rPr>
        <b/>
        <sz val="11"/>
        <color theme="1"/>
        <rFont val="Aptos Narrow"/>
        <family val="2"/>
        <scheme val="minor"/>
      </rPr>
      <t>1-Year Central Zero Trust Network Access: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</si>
  <si>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t xml:space="preserve">Sophos Central Zero Trust Network Access (ZTNA):
</t>
    </r>
    <r>
      <rPr>
        <i/>
        <sz val="11"/>
        <color rgb="FFFF0000"/>
        <rFont val="Aptos Narrow"/>
        <family val="2"/>
        <scheme val="minor"/>
      </rPr>
      <t xml:space="preserve"> - License per User.
 - Đơn giá theo Range.</t>
    </r>
  </si>
  <si>
    <r>
      <rPr>
        <b/>
        <sz val="11"/>
        <color theme="1"/>
        <rFont val="Aptos Narrow"/>
        <family val="2"/>
        <scheme val="minor"/>
      </rPr>
      <t>1-Year Central Firewall Reporting Advanced: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</si>
  <si>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t xml:space="preserve">Sophos Central Firewall Reporting Advanced (CFR):
</t>
    </r>
    <r>
      <rPr>
        <i/>
        <sz val="11"/>
        <color rgb="FFFF0000"/>
        <rFont val="Aptos Narrow"/>
        <family val="2"/>
        <scheme val="minor"/>
      </rPr>
      <t xml:space="preserve"> - Quản lý tập trung và lưu log và report tập trung tất cả Firewall Sopphos trên Cloud.
 - License tính theo BLOCK (mỗi BLOCK = 100GB).
 - Số lượng BLOCK mua tối thiểu &gt;= số lượng FW cần quản lý.</t>
    </r>
  </si>
  <si>
    <r>
      <t xml:space="preserve">Sophos Network Detection &amp; Response (NDR):
</t>
    </r>
    <r>
      <rPr>
        <i/>
        <sz val="11"/>
        <color rgb="FFFF0000"/>
        <rFont val="Aptos Narrow"/>
        <family val="2"/>
        <scheme val="minor"/>
      </rPr>
      <t xml:space="preserve"> - Hệ thống Phân tích bất thường mạng &amp; Phát hiện mã độc mạng.
 - License tính theo USER + SERVER.
</t>
    </r>
    <r>
      <rPr>
        <b/>
        <i/>
        <u/>
        <sz val="11"/>
        <color rgb="FFFF0000"/>
        <rFont val="Aptos Narrow"/>
        <family val="2"/>
        <scheme val="minor"/>
      </rPr>
      <t xml:space="preserve"> - Note: Tích hợp với MDR / XDR &amp; Sophos Firewall</t>
    </r>
  </si>
  <si>
    <r>
      <rPr>
        <b/>
        <sz val="11"/>
        <color theme="1"/>
        <rFont val="Aptos Narrow"/>
        <family val="2"/>
        <scheme val="minor"/>
      </rPr>
      <t>1-Year Network Detection and Response:</t>
    </r>
    <r>
      <rPr>
        <sz val="11"/>
        <color theme="1"/>
        <rFont val="Aptos Narrow"/>
        <family val="2"/>
        <scheme val="minor"/>
      </rPr>
      <t xml:space="preserve">
ZTNA (Zero Trust Network Access) securely connects users to applications and is the ideal replacement for remote access VPN. It is cloud-delivered and cloud-managed from Sophos Central and protects private applications in your data center or public cloud.    ZTNA provides agentless access to private web applications and a ZTNA agent for 'thick' private application access, e.g. RDP, SSH, etc.  Included are Central management, reporting, and unlimited ZTNA gateways. </t>
    </r>
  </si>
  <si>
    <r>
      <rPr>
        <b/>
        <sz val="11"/>
        <color theme="1"/>
        <rFont val="Arial"/>
        <family val="2"/>
      </rPr>
      <t>Sophos XGS 5500 Hardware Appliance:</t>
    </r>
    <r>
      <rPr>
        <sz val="11"/>
        <color theme="1"/>
        <rFont val="Arial"/>
        <family val="2"/>
      </rPr>
      <t xml:space="preserve">
XGS 5500 HW Appliance with 8 GE + 8 SFP+ ports, 2+1 expansion bays for optional Flexi Port modules (1x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</si>
  <si>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5500: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</si>
  <si>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5500: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</si>
  <si>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5500: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</si>
  <si>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6500 Hardware Appliance:</t>
    </r>
    <r>
      <rPr>
        <sz val="11"/>
        <color theme="1"/>
        <rFont val="Arial"/>
        <family val="2"/>
      </rPr>
      <t xml:space="preserve">
XGS 6500 HW Appliance with 8 GE + 12 SFP+ ports,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</si>
  <si>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6500: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</si>
  <si>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6500: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</si>
  <si>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6500: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</si>
  <si>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7500 Hardware Appliance:</t>
    </r>
    <r>
      <rPr>
        <sz val="11"/>
        <color theme="1"/>
        <rFont val="Arial"/>
        <family val="2"/>
      </rPr>
      <t xml:space="preserve">
XGS 7500 HW Appliance with 8 GE + 12 SFP+ ports, 2 QSFP28 (up to 40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</si>
  <si>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7500: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</si>
  <si>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7500: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</si>
  <si>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7500:
</t>
    </r>
    <r>
      <rPr>
        <sz val="11"/>
        <color theme="1"/>
        <rFont val="Arial"/>
        <family val="2"/>
      </rPr>
      <t>Features: Web Application Firewall.</t>
    </r>
  </si>
  <si>
    <r>
      <rPr>
        <b/>
        <sz val="11"/>
        <color theme="1"/>
        <rFont val="Arial"/>
        <family val="2"/>
      </rPr>
      <t>Sophos XGS 8500 Hardware Appliance:</t>
    </r>
    <r>
      <rPr>
        <sz val="11"/>
        <color theme="1"/>
        <rFont val="Arial"/>
        <family val="2"/>
      </rPr>
      <t xml:space="preserve">
XGS 8500 HW Appliance with 8 GE + 12 SFP+ ports, 2 QSFP28 (up to 100 Gbps), 2+2 expansion bays for optional Flexi Port modules (2x High-density), 2 x SSD + Base License (incl. FW, VPN &amp; Wireless) for unlimited users + power cable.</t>
    </r>
  </si>
  <si>
    <r>
      <rPr>
        <b/>
        <sz val="11"/>
        <color theme="1"/>
        <rFont val="Arial"/>
        <family val="2"/>
      </rPr>
      <t>1-Year Xstream Protection Subscription for XGS 8500:</t>
    </r>
    <r>
      <rPr>
        <sz val="11"/>
        <color theme="1"/>
        <rFont val="Arial"/>
        <family val="2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</si>
  <si>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rial"/>
        <family val="2"/>
      </rPr>
      <t>1-Year Email Protection Subscription for XGS 8500:</t>
    </r>
    <r>
      <rPr>
        <sz val="11"/>
        <color theme="1"/>
        <rFont val="Arial"/>
        <family val="2"/>
      </rPr>
      <t xml:space="preserve">
Features: On-box antispam, AV, DLP, Email encryption.</t>
    </r>
  </si>
  <si>
    <r>
      <rPr>
        <b/>
        <sz val="11"/>
        <color theme="1"/>
        <rFont val="Arial"/>
        <family val="2"/>
      </rPr>
      <t xml:space="preserve">1-Year Webserver Protection Subscription for XGS 8500:
</t>
    </r>
    <r>
      <rPr>
        <sz val="11"/>
        <color theme="1"/>
        <rFont val="Arial"/>
        <family val="2"/>
      </rPr>
      <t>Features: Web Application Firewall.</t>
    </r>
  </si>
  <si>
    <t>Sophos XGS 6500</t>
  </si>
  <si>
    <t>XGS 5500</t>
  </si>
  <si>
    <t>XGS 6500</t>
  </si>
  <si>
    <t>Sophos XGS 7500</t>
  </si>
  <si>
    <t>XGS 7500</t>
  </si>
  <si>
    <t>Sophos XGS 8500</t>
  </si>
  <si>
    <t>USD = 26,200 VNĐ</t>
  </si>
  <si>
    <t>BOM SOPHOS FIREWALL XGS</t>
  </si>
  <si>
    <t>Sophos XGS 5500</t>
  </si>
  <si>
    <t>XGS 8500</t>
  </si>
  <si>
    <t>BOM SOPHOS VIRTUAL FIREWALL SOFTWARE</t>
  </si>
  <si>
    <t>CÁC GÓI ADD-ON với SOPHOS FIREWALL</t>
  </si>
  <si>
    <t>BOM SOPHOS XGS FIREWALL</t>
  </si>
  <si>
    <t>Sophos XGS 2100</t>
  </si>
  <si>
    <t>Sophos XGS 2300</t>
  </si>
  <si>
    <t>XGS 2300</t>
  </si>
  <si>
    <t>Sophos XGS 3300</t>
  </si>
  <si>
    <t>Sophos XGS 4300</t>
  </si>
  <si>
    <t>XGS 4500</t>
  </si>
  <si>
    <t>Sophos XGS 4500</t>
  </si>
  <si>
    <t>Sophos XGS 88</t>
  </si>
  <si>
    <t>XGS 88</t>
  </si>
  <si>
    <t>Sophos XGS 108</t>
  </si>
  <si>
    <t>XGS 108</t>
  </si>
  <si>
    <t>XGS 118</t>
  </si>
  <si>
    <t>Sophos XGS 118</t>
  </si>
  <si>
    <t>Sophos XGS 128</t>
  </si>
  <si>
    <t>Sophos XGS 138</t>
  </si>
  <si>
    <t>XGS 138</t>
  </si>
  <si>
    <t>XGS 128</t>
  </si>
  <si>
    <t>XGS 2100</t>
  </si>
  <si>
    <t>1-Year Enhanced To Enhanced Plus Upgrade</t>
  </si>
  <si>
    <r>
      <rPr>
        <b/>
        <sz val="11"/>
        <color theme="1"/>
        <rFont val="Aptos Narrow"/>
        <family val="2"/>
        <scheme val="minor"/>
      </rPr>
      <t>1-Year Standard Protection Subscription for XGS3100: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</si>
  <si>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3-Year Xstream Protection Subscription for XGS 4500:</t>
    </r>
    <r>
      <rPr>
        <sz val="11"/>
        <color theme="1"/>
        <rFont val="Aptos Narrow"/>
        <family val="2"/>
        <scheme val="minor"/>
      </rPr>
      <t xml:space="preserve">
Features:
- Network Protection: Xstream TLS and DPI engine, IPS, ATP, Security Heartbeat, SD-RED VPN, reporting.
- Web Protection: : Xstream TLS and DPI engine, Web Security and Control, Application Control, reporting.
- Zero-Day Protection: Machine Learning and Sandboxing File Analysis, reporting.
- Central Orchestration: SD-WAN VPN Orchestration, Central Firewall Advanced Reporting, MTR/XDR ready.
- DNS Protection: Cloud-based DNS service for web security and compliance.
- Active Threat Response: MDR/XDR threat feeds and third-party threat feeds.
- Enhanced Support: 24/7 support, feature updates, advanced replacement hardware warranty for term.</t>
    </r>
  </si>
  <si>
    <r>
      <rPr>
        <b/>
        <sz val="11"/>
        <color theme="1"/>
        <rFont val="Aptos Narrow"/>
        <family val="2"/>
        <scheme val="minor"/>
      </rPr>
      <t>1-Year Standard Protection Subscription for XGS4300: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</si>
  <si>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 xml:space="preserve">3-Year Webserver Protection Subscription for XGS 4500:
</t>
    </r>
    <r>
      <rPr>
        <sz val="11"/>
        <color theme="1"/>
        <rFont val="Aptos Narrow"/>
        <family val="2"/>
        <scheme val="minor"/>
      </rPr>
      <t>Features: Web Application Firewall.</t>
    </r>
  </si>
  <si>
    <r>
      <rPr>
        <b/>
        <sz val="11"/>
        <color theme="1"/>
        <rFont val="Aptos Narrow"/>
        <family val="2"/>
        <scheme val="minor"/>
      </rPr>
      <t>1-Year Standard Protection Subscription for XGS2100: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</si>
  <si>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XG2300: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</si>
  <si>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r>
      <rPr>
        <b/>
        <sz val="11"/>
        <color theme="1"/>
        <rFont val="Aptos Narrow"/>
        <family val="2"/>
        <scheme val="minor"/>
      </rPr>
      <t>1-Year Standard Protection Subscription for XGS3300: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</si>
  <si>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UP310012ZZNCAA</t>
  </si>
  <si>
    <r>
      <rPr>
        <b/>
        <sz val="11"/>
        <color theme="1"/>
        <rFont val="Aptos Narrow"/>
        <family val="2"/>
        <scheme val="minor"/>
      </rPr>
      <t>1-Year Network Protection Subscription for XGS 3100</t>
    </r>
    <r>
      <rPr>
        <sz val="11"/>
        <color theme="1"/>
        <rFont val="Aptos Narrow"/>
        <family val="2"/>
        <scheme val="minor"/>
      </rPr>
      <t>:
Xstream TLS and DPI engine, IPS, ATP, 
Security Heartbeat, SD-RED VPN, reporting</t>
    </r>
  </si>
  <si>
    <r>
      <rPr>
        <b/>
        <sz val="11"/>
        <color theme="1"/>
        <rFont val="Aptos Narrow"/>
        <family val="2"/>
        <scheme val="minor"/>
      </rPr>
      <t>1-Year  Enhanced Support for XGS 3100</t>
    </r>
    <r>
      <rPr>
        <sz val="11"/>
        <color theme="1"/>
        <rFont val="Aptos Narrow"/>
        <family val="2"/>
        <scheme val="minor"/>
      </rPr>
      <t>:
24/7 support, feature updates, advanced 
replacement hardware warranty for term</t>
    </r>
  </si>
  <si>
    <t>NS310012ZZNCAA</t>
  </si>
  <si>
    <t>SE310012ZZNCAA</t>
  </si>
  <si>
    <t>SS310012ZZNCAA</t>
  </si>
  <si>
    <t>ES310012ZZNCAA</t>
  </si>
  <si>
    <t>SP310012ZZNCAA</t>
  </si>
  <si>
    <t>XS310012ZZNCAA</t>
  </si>
  <si>
    <t>ZD210012ZZNCAA</t>
  </si>
  <si>
    <t>1-Year  ZERO-DAY PROTECTION For XGS 2100:
Features:
- Dynamic Sandbox Analysis
- Threat Intelligence Analysis</t>
  </si>
  <si>
    <t>UP210012ZZNCAA</t>
  </si>
  <si>
    <r>
      <rPr>
        <b/>
        <sz val="11"/>
        <color theme="1"/>
        <rFont val="Aptos Narrow"/>
        <family val="2"/>
        <scheme val="minor"/>
      </rPr>
      <t>1-Year Standard Protection Subscription for XGS138: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</si>
  <si>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XGS 4300
'XG4CTCHEUK</t>
  </si>
  <si>
    <t>UP430012ZZNCAA</t>
  </si>
  <si>
    <r>
      <rPr>
        <b/>
        <sz val="11"/>
        <color theme="1"/>
        <rFont val="Aptos Narrow"/>
        <family val="2"/>
        <scheme val="minor"/>
      </rPr>
      <t>1-Year Standard Protection Subscription for XGS128:</t>
    </r>
    <r>
      <rPr>
        <sz val="11"/>
        <color theme="1"/>
        <rFont val="Aptos Narrow"/>
        <family val="2"/>
        <scheme val="minor"/>
      </rPr>
      <t xml:space="preserve">
Features:
- Network Protection: Xstream TLS, DPI, IPS, ATP, Security Heartbeat, SD-RED Management
- Web Protection: : Xstream TLS, DPI, Web security and Control, Application Control
- Enhanced Support: 24x7 Direct telephone and email support from Sophos, Security Updates &amp; Patches, Software Feature Updates &amp; Upgrades, Warranty and RMA hardware appliances</t>
    </r>
  </si>
  <si>
    <t>TYPE</t>
  </si>
  <si>
    <t>hw</t>
  </si>
  <si>
    <t>sw</t>
  </si>
  <si>
    <t>VAT(%)</t>
  </si>
  <si>
    <t>SOPHOS</t>
  </si>
  <si>
    <t>GIÁ NHẬP (USD)</t>
  </si>
  <si>
    <t>CZTNA(1-9)</t>
  </si>
  <si>
    <t>CZTNA(10-24)</t>
  </si>
  <si>
    <t>CZTNA(25-49)</t>
  </si>
  <si>
    <t>CZTNA(50-99)</t>
  </si>
  <si>
    <t>CZTNA(100-199)</t>
  </si>
  <si>
    <t>CZTNA(200-499)</t>
  </si>
  <si>
    <t>CFR(1-9)</t>
  </si>
  <si>
    <t>CFR(10-24)</t>
  </si>
  <si>
    <t>CFR(25-49)</t>
  </si>
  <si>
    <t>CFR(50-999)</t>
  </si>
  <si>
    <t>CFR(1000-1999)</t>
  </si>
  <si>
    <t>NDR(1-9)</t>
  </si>
  <si>
    <t>NDR(10-24)</t>
  </si>
  <si>
    <t>NDR(25-49)</t>
  </si>
  <si>
    <t>NDR(50-99)</t>
  </si>
  <si>
    <t>NDR(100-199)</t>
  </si>
  <si>
    <t>NDR(200-499)</t>
  </si>
  <si>
    <t>NDR(500-999)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</si>
</sst>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0"/>
      <color rgb="FFFF0000"/>
      <name val="Aptos Narrow"/>
      <family val="2"/>
      <scheme val="minor"/>
    </font>
    <font>
      <b/>
      <i/>
      <sz val="10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6"/>
      <color rgb="FFC00000"/>
      <name val="Aptos Narrow"/>
      <family val="2"/>
      <scheme val="minor"/>
    </font>
    <font>
      <b/>
      <sz val="16"/>
      <color rgb="FF003399"/>
      <name val="Aptos Narrow"/>
      <family val="2"/>
      <scheme val="minor"/>
    </font>
    <font>
      <b/>
      <sz val="18"/>
      <color rgb="FF003399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41"/>
      </patternFill>
    </fill>
    <fill>
      <patternFill patternType="solid">
        <fgColor theme="6" tint="0.79998168889431442"/>
        <bgColor indexed="4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4" borderId="0" applyFill="0">
      <alignment horizontal="right"/>
    </xf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164" fontId="2" fillId="0" borderId="3" xfId="1" applyNumberFormat="1" applyFont="1" applyBorder="1" applyAlignment="1">
      <alignment vertical="center"/>
    </xf>
    <xf numFmtId="164" fontId="2" fillId="3" borderId="3" xfId="1" applyNumberFormat="1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3" borderId="3" xfId="0" applyFont="1" applyFill="1" applyBorder="1" applyAlignment="1">
      <alignment horizontal="left" vertical="center" wrapText="1"/>
    </xf>
    <xf numFmtId="0" fontId="4" fillId="6" borderId="1" xfId="2" applyFont="1" applyFill="1" applyBorder="1" applyAlignment="1">
      <alignment horizontal="center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4" xfId="2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4" fillId="6" borderId="8" xfId="2" applyFont="1" applyFill="1" applyBorder="1" applyAlignment="1">
      <alignment horizontal="center" vertical="center"/>
    </xf>
    <xf numFmtId="0" fontId="4" fillId="6" borderId="9" xfId="2" applyFont="1" applyFill="1" applyBorder="1" applyAlignment="1">
      <alignment horizontal="center" vertical="center"/>
    </xf>
    <xf numFmtId="0" fontId="4" fillId="6" borderId="10" xfId="2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2" fillId="10" borderId="3" xfId="0" applyFont="1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4" fillId="5" borderId="1" xfId="2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4" fillId="5" borderId="3" xfId="2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0" fillId="7" borderId="3" xfId="0" applyFont="1" applyFill="1" applyBorder="1" applyAlignment="1">
      <alignment vertical="center"/>
    </xf>
    <xf numFmtId="0" fontId="14" fillId="10" borderId="3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0" fontId="14" fillId="11" borderId="3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13" fillId="5" borderId="3" xfId="2" applyFont="1" applyFill="1" applyBorder="1" applyAlignment="1">
      <alignment horizontal="center" vertical="center" wrapText="1"/>
    </xf>
    <xf numFmtId="4" fontId="13" fillId="5" borderId="3" xfId="2" applyNumberFormat="1" applyFont="1" applyFill="1" applyBorder="1" applyAlignment="1">
      <alignment horizontal="center" vertical="center" wrapText="1"/>
    </xf>
    <xf numFmtId="4" fontId="10" fillId="11" borderId="3" xfId="0" applyNumberFormat="1" applyFont="1" applyFill="1" applyBorder="1" applyAlignment="1">
      <alignment vertical="center"/>
    </xf>
    <xf numFmtId="4" fontId="14" fillId="0" borderId="3" xfId="1" applyNumberFormat="1" applyFont="1" applyBorder="1" applyAlignment="1">
      <alignment vertical="center"/>
    </xf>
    <xf numFmtId="4" fontId="14" fillId="3" borderId="3" xfId="1" applyNumberFormat="1" applyFont="1" applyFill="1" applyBorder="1" applyAlignment="1">
      <alignment vertical="center"/>
    </xf>
    <xf numFmtId="4" fontId="10" fillId="10" borderId="3" xfId="0" applyNumberFormat="1" applyFont="1" applyFill="1" applyBorder="1" applyAlignment="1">
      <alignment vertical="center"/>
    </xf>
    <xf numFmtId="4" fontId="10" fillId="7" borderId="3" xfId="0" applyNumberFormat="1" applyFont="1" applyFill="1" applyBorder="1" applyAlignment="1">
      <alignment vertical="center"/>
    </xf>
    <xf numFmtId="4" fontId="10" fillId="8" borderId="3" xfId="0" applyNumberFormat="1" applyFont="1" applyFill="1" applyBorder="1" applyAlignment="1">
      <alignment vertical="center"/>
    </xf>
    <xf numFmtId="4" fontId="10" fillId="0" borderId="0" xfId="0" applyNumberFormat="1" applyFont="1" applyAlignment="1">
      <alignment vertical="center"/>
    </xf>
    <xf numFmtId="0" fontId="0" fillId="12" borderId="0" xfId="0" applyFill="1" applyAlignment="1">
      <alignment vertical="center"/>
    </xf>
    <xf numFmtId="0" fontId="0" fillId="12" borderId="3" xfId="5" applyFont="1" applyFill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43" fontId="4" fillId="5" borderId="3" xfId="1" applyFont="1" applyFill="1" applyBorder="1" applyAlignment="1">
      <alignment horizontal="center" vertical="center" wrapText="1"/>
    </xf>
    <xf numFmtId="43" fontId="0" fillId="7" borderId="3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3" borderId="3" xfId="1" applyFont="1" applyFill="1" applyBorder="1" applyAlignment="1">
      <alignment vertical="center"/>
    </xf>
    <xf numFmtId="43" fontId="0" fillId="9" borderId="3" xfId="1" applyFont="1" applyFill="1" applyBorder="1" applyAlignment="1">
      <alignment vertical="center"/>
    </xf>
    <xf numFmtId="43" fontId="0" fillId="10" borderId="3" xfId="1" applyFont="1" applyFill="1" applyBorder="1" applyAlignment="1">
      <alignment vertical="center"/>
    </xf>
    <xf numFmtId="43" fontId="0" fillId="8" borderId="3" xfId="1" applyFont="1" applyFill="1" applyBorder="1" applyAlignment="1">
      <alignment vertical="center"/>
    </xf>
    <xf numFmtId="43" fontId="0" fillId="0" borderId="0" xfId="1" applyFont="1" applyAlignment="1">
      <alignment vertical="center"/>
    </xf>
    <xf numFmtId="0" fontId="2" fillId="0" borderId="3" xfId="0" applyFont="1" applyBorder="1" applyAlignment="1">
      <alignment vertical="center" wrapText="1"/>
    </xf>
    <xf numFmtId="43" fontId="0" fillId="0" borderId="0" xfId="0" applyNumberForma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12" borderId="3" xfId="0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43" fontId="18" fillId="0" borderId="0" xfId="0" applyNumberFormat="1" applyFont="1" applyAlignment="1">
      <alignment vertical="center"/>
    </xf>
    <xf numFmtId="0" fontId="2" fillId="12" borderId="3" xfId="5" applyFont="1" applyFill="1" applyBorder="1" applyAlignment="1">
      <alignment horizontal="left" vertical="center" wrapText="1"/>
    </xf>
    <xf numFmtId="0" fontId="1" fillId="12" borderId="3" xfId="5" applyFill="1" applyBorder="1" applyAlignment="1">
      <alignment horizontal="left" vertical="center" wrapText="1"/>
    </xf>
    <xf numFmtId="43" fontId="2" fillId="0" borderId="3" xfId="7" applyFont="1" applyBorder="1" applyAlignment="1">
      <alignment vertical="center"/>
    </xf>
    <xf numFmtId="0" fontId="3" fillId="0" borderId="0" xfId="3" applyAlignment="1">
      <alignment vertical="center"/>
    </xf>
    <xf numFmtId="0" fontId="0" fillId="0" borderId="3" xfId="0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4" fillId="6" borderId="18" xfId="2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vertical="center"/>
    </xf>
    <xf numFmtId="164" fontId="2" fillId="0" borderId="20" xfId="1" applyNumberFormat="1" applyFont="1" applyBorder="1" applyAlignment="1">
      <alignment vertical="center"/>
    </xf>
    <xf numFmtId="164" fontId="2" fillId="2" borderId="19" xfId="0" applyNumberFormat="1" applyFont="1" applyFill="1" applyBorder="1" applyAlignment="1">
      <alignment vertical="center" wrapText="1"/>
    </xf>
    <xf numFmtId="43" fontId="2" fillId="0" borderId="20" xfId="1" applyFont="1" applyBorder="1" applyAlignment="1">
      <alignment vertical="center"/>
    </xf>
    <xf numFmtId="0" fontId="20" fillId="15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4" fillId="7" borderId="3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1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</cellXfs>
  <cellStyles count="8">
    <cellStyle name="Comma" xfId="1" builtinId="3"/>
    <cellStyle name="Comma 14" xfId="6" xr:uid="{FE5BB8EC-47D5-47D7-A454-7453CDE23371}"/>
    <cellStyle name="Comma 2" xfId="7" xr:uid="{8F8507B4-C6A9-465F-B994-6CD99E5E8BD7}"/>
    <cellStyle name="Normal" xfId="0" builtinId="0"/>
    <cellStyle name="Normal 15" xfId="5" xr:uid="{9959E31A-74D3-453E-B6FB-64B414928B04}"/>
    <cellStyle name="Normal 2" xfId="3" xr:uid="{00000000-0005-0000-0000-000002000000}"/>
    <cellStyle name="Normal_Bao gia Kaspersky_SMB_02072007" xfId="2" xr:uid="{00000000-0005-0000-0000-000003000000}"/>
    <cellStyle name="Price" xfId="4" xr:uid="{00000000-0005-0000-0000-000004000000}"/>
  </cellStyles>
  <dxfs count="0"/>
  <tableStyles count="0" defaultTableStyle="TableStyleMedium2" defaultPivotStyle="PivotStyleLight16"/>
  <colors>
    <mruColors>
      <color rgb="FF0033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zoomScale="90" zoomScaleNormal="90" workbookViewId="0">
      <selection activeCell="L7" sqref="L7"/>
    </sheetView>
  </sheetViews>
  <sheetFormatPr defaultColWidth="9" defaultRowHeight="15" x14ac:dyDescent="0.25"/>
  <cols>
    <col min="1" max="1" width="5.5703125" style="11" customWidth="1"/>
    <col min="2" max="2" width="13.42578125" style="11" customWidth="1"/>
    <col min="3" max="3" width="90.5703125" style="11" customWidth="1"/>
    <col min="4" max="4" width="19.85546875" style="11" customWidth="1"/>
    <col min="5" max="5" width="12.7109375" style="11" bestFit="1" customWidth="1"/>
    <col min="6" max="6" width="16.28515625" style="11" customWidth="1"/>
    <col min="7" max="7" width="19.5703125" style="11" bestFit="1" customWidth="1"/>
    <col min="8" max="16384" width="9" style="11"/>
  </cols>
  <sheetData>
    <row r="1" spans="1:7" ht="33.200000000000003" customHeight="1" x14ac:dyDescent="0.25">
      <c r="A1" s="84" t="s">
        <v>125</v>
      </c>
      <c r="B1" s="84"/>
      <c r="C1" s="84"/>
      <c r="D1" s="84"/>
    </row>
    <row r="2" spans="1:7" ht="25.35" customHeight="1" x14ac:dyDescent="0.25">
      <c r="A2" s="91" t="s">
        <v>119</v>
      </c>
      <c r="B2" s="91"/>
      <c r="C2" s="92" t="s">
        <v>172</v>
      </c>
      <c r="D2" s="93"/>
    </row>
    <row r="3" spans="1:7" ht="15.75" thickBot="1" x14ac:dyDescent="0.3"/>
    <row r="4" spans="1:7" ht="31.5" x14ac:dyDescent="0.25">
      <c r="A4" s="28" t="s">
        <v>0</v>
      </c>
      <c r="B4" s="28" t="s">
        <v>7</v>
      </c>
      <c r="C4" s="29" t="s">
        <v>8</v>
      </c>
      <c r="D4" s="30" t="s">
        <v>9</v>
      </c>
      <c r="E4" s="75" t="s">
        <v>168</v>
      </c>
      <c r="F4" s="76" t="s">
        <v>171</v>
      </c>
      <c r="G4" s="77" t="s">
        <v>173</v>
      </c>
    </row>
    <row r="5" spans="1:7" ht="19.350000000000001" customHeight="1" x14ac:dyDescent="0.25">
      <c r="A5" s="24" t="s">
        <v>133</v>
      </c>
      <c r="B5" s="25"/>
      <c r="C5" s="25"/>
      <c r="D5" s="25"/>
      <c r="E5" s="69"/>
      <c r="F5" s="69"/>
      <c r="G5" s="69"/>
    </row>
    <row r="6" spans="1:7" ht="45" x14ac:dyDescent="0.25">
      <c r="A6" s="85">
        <v>1</v>
      </c>
      <c r="B6" s="88" t="s">
        <v>134</v>
      </c>
      <c r="C6" s="14" t="s">
        <v>2</v>
      </c>
      <c r="D6" s="1">
        <v>549</v>
      </c>
      <c r="E6" s="69" t="s">
        <v>169</v>
      </c>
      <c r="F6" s="69">
        <v>10</v>
      </c>
      <c r="G6" s="69">
        <v>50</v>
      </c>
    </row>
    <row r="7" spans="1:7" ht="133.5" customHeight="1" x14ac:dyDescent="0.25">
      <c r="A7" s="86"/>
      <c r="B7" s="89"/>
      <c r="C7" s="14" t="s">
        <v>1</v>
      </c>
      <c r="D7" s="1">
        <v>395.5</v>
      </c>
      <c r="E7" s="69" t="s">
        <v>170</v>
      </c>
      <c r="F7" s="69">
        <v>20</v>
      </c>
      <c r="G7" s="69">
        <v>50</v>
      </c>
    </row>
    <row r="8" spans="1:7" ht="36.6" customHeight="1" x14ac:dyDescent="0.25">
      <c r="A8" s="86"/>
      <c r="B8" s="89"/>
      <c r="C8" s="15" t="s">
        <v>28</v>
      </c>
      <c r="D8" s="2">
        <v>60</v>
      </c>
      <c r="E8" s="69" t="s">
        <v>169</v>
      </c>
      <c r="F8" s="69">
        <v>10</v>
      </c>
      <c r="G8" s="69">
        <v>50</v>
      </c>
    </row>
    <row r="9" spans="1:7" ht="34.5" customHeight="1" x14ac:dyDescent="0.25">
      <c r="A9" s="87"/>
      <c r="B9" s="90"/>
      <c r="C9" s="15" t="s">
        <v>29</v>
      </c>
      <c r="D9" s="2">
        <v>60</v>
      </c>
      <c r="E9" s="69" t="s">
        <v>170</v>
      </c>
      <c r="F9" s="69">
        <v>20</v>
      </c>
      <c r="G9" s="69">
        <v>50</v>
      </c>
    </row>
    <row r="10" spans="1:7" ht="21" customHeight="1" x14ac:dyDescent="0.25">
      <c r="A10" s="20" t="s">
        <v>135</v>
      </c>
      <c r="B10" s="21"/>
      <c r="C10" s="21"/>
      <c r="D10" s="21"/>
      <c r="E10" s="69"/>
      <c r="F10" s="69"/>
      <c r="G10" s="69"/>
    </row>
    <row r="11" spans="1:7" ht="49.15" customHeight="1" x14ac:dyDescent="0.25">
      <c r="A11" s="85">
        <v>2</v>
      </c>
      <c r="B11" s="88" t="s">
        <v>136</v>
      </c>
      <c r="C11" s="14" t="s">
        <v>4</v>
      </c>
      <c r="D11" s="1">
        <v>721</v>
      </c>
      <c r="E11" s="69" t="s">
        <v>170</v>
      </c>
      <c r="F11" s="69">
        <v>20</v>
      </c>
      <c r="G11" s="69">
        <v>50</v>
      </c>
    </row>
    <row r="12" spans="1:7" ht="144.4" customHeight="1" x14ac:dyDescent="0.25">
      <c r="A12" s="86"/>
      <c r="B12" s="89"/>
      <c r="C12" s="14" t="s">
        <v>3</v>
      </c>
      <c r="D12" s="1">
        <v>433</v>
      </c>
      <c r="E12" s="69" t="s">
        <v>169</v>
      </c>
      <c r="F12" s="69">
        <v>10</v>
      </c>
      <c r="G12" s="69">
        <v>50</v>
      </c>
    </row>
    <row r="13" spans="1:7" ht="34.15" customHeight="1" x14ac:dyDescent="0.25">
      <c r="A13" s="86"/>
      <c r="B13" s="89"/>
      <c r="C13" s="15" t="s">
        <v>30</v>
      </c>
      <c r="D13" s="2">
        <v>65</v>
      </c>
      <c r="E13" s="69" t="s">
        <v>170</v>
      </c>
      <c r="F13" s="69">
        <v>20</v>
      </c>
      <c r="G13" s="69">
        <v>50</v>
      </c>
    </row>
    <row r="14" spans="1:7" ht="33.6" customHeight="1" x14ac:dyDescent="0.25">
      <c r="A14" s="87"/>
      <c r="B14" s="90"/>
      <c r="C14" s="15" t="s">
        <v>31</v>
      </c>
      <c r="D14" s="2">
        <v>65</v>
      </c>
      <c r="E14" s="69" t="s">
        <v>169</v>
      </c>
      <c r="F14" s="69">
        <v>10</v>
      </c>
      <c r="G14" s="69">
        <v>50</v>
      </c>
    </row>
    <row r="15" spans="1:7" s="68" customFormat="1" ht="47.25" customHeight="1" x14ac:dyDescent="0.25">
      <c r="A15" s="73"/>
      <c r="B15" s="74"/>
      <c r="C15" s="62" t="s">
        <v>144</v>
      </c>
      <c r="D15" s="67">
        <v>72</v>
      </c>
      <c r="E15" s="69" t="s">
        <v>170</v>
      </c>
      <c r="F15" s="69">
        <v>20</v>
      </c>
      <c r="G15" s="69">
        <v>50</v>
      </c>
    </row>
    <row r="16" spans="1:7" ht="29.25" customHeight="1" x14ac:dyDescent="0.25">
      <c r="A16" s="22" t="s">
        <v>138</v>
      </c>
      <c r="B16" s="23"/>
      <c r="C16" s="23"/>
      <c r="D16" s="23"/>
      <c r="E16" s="69"/>
      <c r="F16" s="69"/>
      <c r="G16" s="69"/>
    </row>
    <row r="17" spans="1:7" ht="57.4" customHeight="1" x14ac:dyDescent="0.25">
      <c r="A17" s="85">
        <v>3</v>
      </c>
      <c r="B17" s="88" t="s">
        <v>137</v>
      </c>
      <c r="C17" s="14" t="s">
        <v>6</v>
      </c>
      <c r="D17" s="1">
        <v>919.5</v>
      </c>
      <c r="E17" s="69" t="s">
        <v>170</v>
      </c>
      <c r="F17" s="69">
        <v>20</v>
      </c>
      <c r="G17" s="69">
        <v>50</v>
      </c>
    </row>
    <row r="18" spans="1:7" ht="133.15" customHeight="1" x14ac:dyDescent="0.25">
      <c r="A18" s="86"/>
      <c r="B18" s="89"/>
      <c r="C18" s="14" t="s">
        <v>5</v>
      </c>
      <c r="D18" s="1">
        <v>576.5</v>
      </c>
      <c r="E18" s="69" t="s">
        <v>169</v>
      </c>
      <c r="F18" s="69">
        <v>10</v>
      </c>
      <c r="G18" s="69">
        <v>50</v>
      </c>
    </row>
    <row r="19" spans="1:7" ht="34.15" customHeight="1" x14ac:dyDescent="0.25">
      <c r="A19" s="86"/>
      <c r="B19" s="89"/>
      <c r="C19" s="15" t="s">
        <v>32</v>
      </c>
      <c r="D19" s="2">
        <v>87.5</v>
      </c>
      <c r="E19" s="69" t="s">
        <v>170</v>
      </c>
      <c r="F19" s="69">
        <v>20</v>
      </c>
      <c r="G19" s="69">
        <v>50</v>
      </c>
    </row>
    <row r="20" spans="1:7" ht="35.450000000000003" customHeight="1" x14ac:dyDescent="0.25">
      <c r="A20" s="87"/>
      <c r="B20" s="90"/>
      <c r="C20" s="15" t="s">
        <v>33</v>
      </c>
      <c r="D20" s="2">
        <v>87.5</v>
      </c>
      <c r="E20" s="69" t="s">
        <v>169</v>
      </c>
      <c r="F20" s="69">
        <v>10</v>
      </c>
      <c r="G20" s="69">
        <v>50</v>
      </c>
    </row>
    <row r="21" spans="1:7" s="68" customFormat="1" ht="47.25" customHeight="1" x14ac:dyDescent="0.25">
      <c r="A21" s="73"/>
      <c r="B21" s="74"/>
      <c r="C21" s="62" t="s">
        <v>144</v>
      </c>
      <c r="D21" s="67">
        <v>91.56</v>
      </c>
      <c r="E21" s="69" t="s">
        <v>170</v>
      </c>
      <c r="F21" s="69">
        <v>20</v>
      </c>
      <c r="G21" s="69">
        <v>50</v>
      </c>
    </row>
    <row r="22" spans="1:7" ht="23.45" customHeight="1" x14ac:dyDescent="0.25">
      <c r="A22" s="20" t="s">
        <v>139</v>
      </c>
      <c r="B22" s="21"/>
      <c r="C22" s="21"/>
      <c r="D22" s="21"/>
      <c r="E22" s="69"/>
      <c r="F22" s="69"/>
      <c r="G22" s="69"/>
    </row>
    <row r="23" spans="1:7" ht="51.4" customHeight="1" x14ac:dyDescent="0.25">
      <c r="A23" s="85">
        <v>4</v>
      </c>
      <c r="B23" s="70" t="s">
        <v>142</v>
      </c>
      <c r="C23" s="14" t="s">
        <v>12</v>
      </c>
      <c r="D23" s="1">
        <v>1250</v>
      </c>
      <c r="E23" s="69" t="s">
        <v>170</v>
      </c>
      <c r="F23" s="69">
        <v>20</v>
      </c>
      <c r="G23" s="69">
        <v>50</v>
      </c>
    </row>
    <row r="24" spans="1:7" ht="137.1" customHeight="1" x14ac:dyDescent="0.25">
      <c r="A24" s="86"/>
      <c r="B24" s="71"/>
      <c r="C24" s="14" t="s">
        <v>10</v>
      </c>
      <c r="D24" s="1">
        <v>766.5</v>
      </c>
      <c r="E24" s="69" t="s">
        <v>169</v>
      </c>
      <c r="F24" s="69">
        <v>10</v>
      </c>
      <c r="G24" s="69">
        <v>50</v>
      </c>
    </row>
    <row r="25" spans="1:7" ht="33.200000000000003" customHeight="1" x14ac:dyDescent="0.25">
      <c r="A25" s="86"/>
      <c r="B25" s="71"/>
      <c r="C25" s="15" t="s">
        <v>34</v>
      </c>
      <c r="D25" s="2">
        <v>115.56</v>
      </c>
      <c r="E25" s="69" t="s">
        <v>170</v>
      </c>
      <c r="F25" s="69">
        <v>20</v>
      </c>
      <c r="G25" s="69">
        <v>50</v>
      </c>
    </row>
    <row r="26" spans="1:7" ht="119.1" customHeight="1" x14ac:dyDescent="0.25">
      <c r="A26" s="86"/>
      <c r="B26" s="71"/>
      <c r="C26" s="49" t="s">
        <v>167</v>
      </c>
      <c r="D26" s="2">
        <v>590</v>
      </c>
      <c r="E26" s="69" t="s">
        <v>169</v>
      </c>
      <c r="F26" s="69">
        <v>10</v>
      </c>
      <c r="G26" s="69">
        <v>50</v>
      </c>
    </row>
    <row r="27" spans="1:7" ht="35.65" customHeight="1" x14ac:dyDescent="0.25">
      <c r="A27" s="87"/>
      <c r="B27" s="72"/>
      <c r="C27" s="15" t="s">
        <v>35</v>
      </c>
      <c r="D27" s="2">
        <v>115.56</v>
      </c>
      <c r="E27" s="69" t="s">
        <v>170</v>
      </c>
      <c r="F27" s="69">
        <v>20</v>
      </c>
      <c r="G27" s="69">
        <v>50</v>
      </c>
    </row>
    <row r="28" spans="1:7" s="68" customFormat="1" ht="47.25" customHeight="1" x14ac:dyDescent="0.25">
      <c r="A28" s="73"/>
      <c r="B28" s="74"/>
      <c r="C28" s="62" t="s">
        <v>144</v>
      </c>
      <c r="D28" s="67">
        <v>124.56</v>
      </c>
      <c r="E28" s="69" t="s">
        <v>169</v>
      </c>
      <c r="F28" s="69">
        <v>10</v>
      </c>
      <c r="G28" s="69">
        <v>50</v>
      </c>
    </row>
    <row r="29" spans="1:7" ht="28.5" customHeight="1" x14ac:dyDescent="0.25">
      <c r="A29" s="20" t="s">
        <v>140</v>
      </c>
      <c r="B29" s="21"/>
      <c r="C29" s="21"/>
      <c r="D29" s="21"/>
      <c r="E29" s="69"/>
      <c r="F29" s="69"/>
      <c r="G29" s="69"/>
    </row>
    <row r="30" spans="1:7" ht="45" x14ac:dyDescent="0.25">
      <c r="A30" s="95">
        <v>5</v>
      </c>
      <c r="B30" s="94" t="s">
        <v>141</v>
      </c>
      <c r="C30" s="14" t="s">
        <v>13</v>
      </c>
      <c r="D30" s="1">
        <v>1580.5</v>
      </c>
      <c r="E30" s="69" t="s">
        <v>169</v>
      </c>
      <c r="F30" s="69">
        <v>10</v>
      </c>
      <c r="G30" s="69">
        <v>50</v>
      </c>
    </row>
    <row r="31" spans="1:7" ht="161.65" customHeight="1" x14ac:dyDescent="0.25">
      <c r="A31" s="95"/>
      <c r="B31" s="94"/>
      <c r="C31" s="14" t="s">
        <v>11</v>
      </c>
      <c r="D31" s="1">
        <v>1208.5</v>
      </c>
      <c r="E31" s="69" t="s">
        <v>170</v>
      </c>
      <c r="F31" s="69">
        <v>20</v>
      </c>
      <c r="G31" s="69">
        <v>50</v>
      </c>
    </row>
    <row r="32" spans="1:7" ht="30" x14ac:dyDescent="0.25">
      <c r="A32" s="95"/>
      <c r="B32" s="94"/>
      <c r="C32" s="15" t="s">
        <v>36</v>
      </c>
      <c r="D32" s="2">
        <v>181.56</v>
      </c>
      <c r="E32" s="69" t="s">
        <v>170</v>
      </c>
      <c r="F32" s="69">
        <v>20</v>
      </c>
      <c r="G32" s="69">
        <v>50</v>
      </c>
    </row>
    <row r="33" spans="1:7" s="68" customFormat="1" ht="105.95" customHeight="1" x14ac:dyDescent="0.25">
      <c r="A33" s="95"/>
      <c r="B33" s="94"/>
      <c r="C33" s="66" t="s">
        <v>164</v>
      </c>
      <c r="D33" s="67">
        <f>24552000/26400</f>
        <v>930</v>
      </c>
      <c r="E33" s="69" t="s">
        <v>170</v>
      </c>
      <c r="F33" s="69">
        <v>20</v>
      </c>
      <c r="G33" s="69">
        <v>50</v>
      </c>
    </row>
    <row r="34" spans="1:7" s="68" customFormat="1" ht="47.25" customHeight="1" x14ac:dyDescent="0.25">
      <c r="A34" s="95"/>
      <c r="B34" s="94"/>
      <c r="C34" s="62" t="s">
        <v>144</v>
      </c>
      <c r="D34" s="67">
        <v>156.96</v>
      </c>
      <c r="E34" s="69" t="s">
        <v>169</v>
      </c>
      <c r="F34" s="69">
        <v>10</v>
      </c>
      <c r="G34" s="69">
        <v>50</v>
      </c>
    </row>
    <row r="35" spans="1:7" ht="41.65" customHeight="1" x14ac:dyDescent="0.25">
      <c r="A35" s="95"/>
      <c r="B35" s="94"/>
      <c r="C35" s="15" t="s">
        <v>37</v>
      </c>
      <c r="D35" s="2">
        <v>181.56</v>
      </c>
      <c r="E35" s="69" t="s">
        <v>170</v>
      </c>
      <c r="F35" s="69">
        <v>20</v>
      </c>
      <c r="G35" s="69">
        <v>50</v>
      </c>
    </row>
  </sheetData>
  <mergeCells count="12">
    <mergeCell ref="A17:A20"/>
    <mergeCell ref="A23:A27"/>
    <mergeCell ref="B30:B35"/>
    <mergeCell ref="A30:A35"/>
    <mergeCell ref="B17:B20"/>
    <mergeCell ref="A1:D1"/>
    <mergeCell ref="A6:A9"/>
    <mergeCell ref="B6:B9"/>
    <mergeCell ref="B11:B14"/>
    <mergeCell ref="A11:A14"/>
    <mergeCell ref="A2:B2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zoomScale="94" zoomScaleNormal="90" workbookViewId="0">
      <selection activeCell="B40" sqref="B40"/>
    </sheetView>
  </sheetViews>
  <sheetFormatPr defaultColWidth="9" defaultRowHeight="15" x14ac:dyDescent="0.25"/>
  <cols>
    <col min="1" max="1" width="5.5703125" style="11" customWidth="1"/>
    <col min="2" max="2" width="19.42578125" style="11" customWidth="1"/>
    <col min="3" max="3" width="89.85546875" style="11" customWidth="1"/>
    <col min="4" max="4" width="19.85546875" style="58" customWidth="1"/>
    <col min="5" max="5" width="14.7109375" style="11" bestFit="1" customWidth="1"/>
    <col min="6" max="6" width="11.5703125" style="11" bestFit="1" customWidth="1"/>
    <col min="7" max="7" width="20" style="11" bestFit="1" customWidth="1"/>
    <col min="8" max="16384" width="9" style="11"/>
  </cols>
  <sheetData>
    <row r="1" spans="1:7" ht="28.9" customHeight="1" x14ac:dyDescent="0.25">
      <c r="A1" s="96" t="s">
        <v>125</v>
      </c>
      <c r="B1" s="96"/>
      <c r="C1" s="96"/>
      <c r="D1" s="96"/>
    </row>
    <row r="2" spans="1:7" ht="26.1" customHeight="1" x14ac:dyDescent="0.25">
      <c r="A2" s="91" t="s">
        <v>119</v>
      </c>
      <c r="B2" s="91"/>
      <c r="C2" s="92"/>
      <c r="D2" s="93"/>
    </row>
    <row r="4" spans="1:7" ht="35.65" customHeight="1" x14ac:dyDescent="0.25">
      <c r="A4" s="31" t="s">
        <v>0</v>
      </c>
      <c r="B4" s="31" t="s">
        <v>7</v>
      </c>
      <c r="C4" s="31" t="s">
        <v>8</v>
      </c>
      <c r="D4" s="51" t="s">
        <v>9</v>
      </c>
      <c r="E4" s="75" t="s">
        <v>168</v>
      </c>
      <c r="F4" s="76" t="s">
        <v>171</v>
      </c>
      <c r="G4" s="77" t="s">
        <v>173</v>
      </c>
    </row>
    <row r="5" spans="1:7" ht="25.7" customHeight="1" x14ac:dyDescent="0.25">
      <c r="A5" s="20" t="s">
        <v>126</v>
      </c>
      <c r="B5" s="21"/>
      <c r="C5" s="21"/>
      <c r="D5" s="52"/>
    </row>
    <row r="6" spans="1:7" ht="96" customHeight="1" x14ac:dyDescent="0.25">
      <c r="A6" s="95">
        <v>1</v>
      </c>
      <c r="B6" s="50" t="s">
        <v>143</v>
      </c>
      <c r="C6" s="14" t="s">
        <v>15</v>
      </c>
      <c r="D6" s="53">
        <v>2479.5</v>
      </c>
      <c r="E6" s="60"/>
    </row>
    <row r="7" spans="1:7" ht="61.5" customHeight="1" x14ac:dyDescent="0.25">
      <c r="A7" s="95"/>
      <c r="B7" s="50"/>
      <c r="C7" s="14" t="s">
        <v>14</v>
      </c>
      <c r="D7" s="53">
        <v>2638.5</v>
      </c>
      <c r="E7" s="60"/>
    </row>
    <row r="8" spans="1:7" ht="72" customHeight="1" x14ac:dyDescent="0.25">
      <c r="A8" s="95"/>
      <c r="B8" s="50"/>
      <c r="C8" s="49" t="s">
        <v>149</v>
      </c>
      <c r="D8" s="53">
        <v>1955.5</v>
      </c>
      <c r="E8" s="60"/>
    </row>
    <row r="9" spans="1:7" ht="30" x14ac:dyDescent="0.25">
      <c r="A9" s="95"/>
      <c r="B9" s="50"/>
      <c r="C9" s="15" t="s">
        <v>80</v>
      </c>
      <c r="D9" s="54">
        <v>396.48</v>
      </c>
    </row>
    <row r="10" spans="1:7" ht="30" x14ac:dyDescent="0.25">
      <c r="A10" s="95"/>
      <c r="B10" s="50"/>
      <c r="C10" s="15" t="s">
        <v>81</v>
      </c>
      <c r="D10" s="54">
        <v>396.48</v>
      </c>
    </row>
    <row r="11" spans="1:7" ht="80.650000000000006" customHeight="1" x14ac:dyDescent="0.25">
      <c r="A11" s="61"/>
      <c r="B11" s="50" t="s">
        <v>161</v>
      </c>
      <c r="C11" s="65" t="s">
        <v>162</v>
      </c>
      <c r="D11" s="54">
        <v>528</v>
      </c>
      <c r="E11" s="60"/>
    </row>
    <row r="12" spans="1:7" ht="27.95" customHeight="1" x14ac:dyDescent="0.25">
      <c r="A12" s="61"/>
      <c r="B12" s="50" t="s">
        <v>163</v>
      </c>
      <c r="C12" s="62" t="s">
        <v>144</v>
      </c>
      <c r="D12" s="63">
        <v>246</v>
      </c>
    </row>
    <row r="13" spans="1:7" ht="23.45" customHeight="1" x14ac:dyDescent="0.25">
      <c r="A13" s="24" t="s">
        <v>127</v>
      </c>
      <c r="B13" s="25"/>
      <c r="C13" s="25"/>
      <c r="D13" s="55"/>
    </row>
    <row r="14" spans="1:7" ht="45" x14ac:dyDescent="0.25">
      <c r="A14" s="95">
        <v>2</v>
      </c>
      <c r="B14" s="94" t="s">
        <v>128</v>
      </c>
      <c r="C14" s="14" t="s">
        <v>16</v>
      </c>
      <c r="D14" s="53">
        <v>3431.5</v>
      </c>
    </row>
    <row r="15" spans="1:7" ht="136.69999999999999" customHeight="1" x14ac:dyDescent="0.25">
      <c r="A15" s="95"/>
      <c r="B15" s="94"/>
      <c r="C15" s="14" t="s">
        <v>25</v>
      </c>
      <c r="D15" s="53">
        <v>3735</v>
      </c>
    </row>
    <row r="16" spans="1:7" ht="116.65" customHeight="1" x14ac:dyDescent="0.25">
      <c r="A16" s="95"/>
      <c r="B16" s="94"/>
      <c r="C16" s="49" t="s">
        <v>150</v>
      </c>
      <c r="D16" s="53">
        <v>2766</v>
      </c>
    </row>
    <row r="17" spans="1:5" ht="39.6" customHeight="1" x14ac:dyDescent="0.25">
      <c r="A17" s="95"/>
      <c r="B17" s="94"/>
      <c r="C17" s="15" t="s">
        <v>82</v>
      </c>
      <c r="D17" s="54">
        <v>560.5</v>
      </c>
    </row>
    <row r="18" spans="1:5" ht="39.6" customHeight="1" x14ac:dyDescent="0.25">
      <c r="A18" s="95"/>
      <c r="B18" s="94"/>
      <c r="C18" s="15" t="s">
        <v>83</v>
      </c>
      <c r="D18" s="54">
        <v>560.5</v>
      </c>
    </row>
    <row r="19" spans="1:5" ht="27.95" customHeight="1" x14ac:dyDescent="0.25">
      <c r="A19" s="61"/>
      <c r="B19" s="50"/>
      <c r="C19" s="62" t="s">
        <v>144</v>
      </c>
      <c r="D19" s="63">
        <v>339.96</v>
      </c>
    </row>
    <row r="20" spans="1:5" ht="23.85" customHeight="1" x14ac:dyDescent="0.25">
      <c r="A20" s="20" t="s">
        <v>17</v>
      </c>
      <c r="B20" s="21"/>
      <c r="C20" s="21"/>
      <c r="D20" s="52"/>
    </row>
    <row r="21" spans="1:5" ht="45" x14ac:dyDescent="0.25">
      <c r="A21" s="95">
        <v>3</v>
      </c>
      <c r="B21" s="50" t="s">
        <v>18</v>
      </c>
      <c r="C21" s="14" t="s">
        <v>21</v>
      </c>
      <c r="D21" s="53">
        <v>5150</v>
      </c>
    </row>
    <row r="22" spans="1:5" ht="144.94999999999999" customHeight="1" x14ac:dyDescent="0.25">
      <c r="A22" s="95"/>
      <c r="B22" s="50" t="s">
        <v>160</v>
      </c>
      <c r="C22" s="14" t="s">
        <v>19</v>
      </c>
      <c r="D22" s="53">
        <v>4828.5</v>
      </c>
    </row>
    <row r="23" spans="1:5" ht="116.65" customHeight="1" x14ac:dyDescent="0.25">
      <c r="A23" s="95"/>
      <c r="B23" s="50" t="s">
        <v>159</v>
      </c>
      <c r="C23" s="49" t="s">
        <v>145</v>
      </c>
      <c r="D23" s="53">
        <v>3576.48</v>
      </c>
    </row>
    <row r="24" spans="1:5" ht="39" customHeight="1" x14ac:dyDescent="0.25">
      <c r="A24" s="95"/>
      <c r="B24" s="50" t="s">
        <v>152</v>
      </c>
      <c r="C24" s="48" t="s">
        <v>144</v>
      </c>
      <c r="D24" s="53">
        <v>510.48</v>
      </c>
    </row>
    <row r="25" spans="1:5" ht="34.5" customHeight="1" x14ac:dyDescent="0.25">
      <c r="A25" s="95"/>
      <c r="B25" s="50" t="s">
        <v>158</v>
      </c>
      <c r="C25" s="15" t="s">
        <v>84</v>
      </c>
      <c r="D25" s="54">
        <v>724.6</v>
      </c>
    </row>
    <row r="26" spans="1:5" ht="55.35" customHeight="1" x14ac:dyDescent="0.25">
      <c r="A26" s="95"/>
      <c r="B26" s="50" t="s">
        <v>157</v>
      </c>
      <c r="C26" s="49" t="s">
        <v>85</v>
      </c>
      <c r="D26" s="54">
        <v>724.6</v>
      </c>
    </row>
    <row r="27" spans="1:5" ht="54.95" customHeight="1" x14ac:dyDescent="0.25">
      <c r="A27" s="61"/>
      <c r="B27" s="50" t="s">
        <v>155</v>
      </c>
      <c r="C27" s="15" t="s">
        <v>153</v>
      </c>
      <c r="D27" s="54">
        <v>1448.52</v>
      </c>
    </row>
    <row r="28" spans="1:5" ht="54.95" customHeight="1" x14ac:dyDescent="0.25">
      <c r="A28" s="61"/>
      <c r="B28" s="50" t="s">
        <v>156</v>
      </c>
      <c r="C28" s="15" t="s">
        <v>154</v>
      </c>
      <c r="D28" s="54">
        <v>773.04</v>
      </c>
    </row>
    <row r="29" spans="1:5" ht="21.4" customHeight="1" x14ac:dyDescent="0.25">
      <c r="A29" s="26" t="s">
        <v>129</v>
      </c>
      <c r="B29" s="27"/>
      <c r="C29" s="27"/>
      <c r="D29" s="56"/>
    </row>
    <row r="30" spans="1:5" ht="45" x14ac:dyDescent="0.25">
      <c r="A30" s="95">
        <v>4</v>
      </c>
      <c r="B30" s="94" t="s">
        <v>20</v>
      </c>
      <c r="C30" s="14" t="s">
        <v>22</v>
      </c>
      <c r="D30" s="53">
        <v>6604.5</v>
      </c>
      <c r="E30" s="60"/>
    </row>
    <row r="31" spans="1:5" ht="137.1" customHeight="1" x14ac:dyDescent="0.25">
      <c r="A31" s="95"/>
      <c r="B31" s="94"/>
      <c r="C31" s="14" t="s">
        <v>26</v>
      </c>
      <c r="D31" s="53">
        <v>6725.5</v>
      </c>
    </row>
    <row r="32" spans="1:5" ht="137.1" customHeight="1" x14ac:dyDescent="0.25">
      <c r="A32" s="95"/>
      <c r="B32" s="94"/>
      <c r="C32" s="14" t="s">
        <v>151</v>
      </c>
      <c r="D32" s="53">
        <v>4981.5600000000004</v>
      </c>
      <c r="E32" s="60"/>
    </row>
    <row r="33" spans="1:4" ht="33.200000000000003" customHeight="1" x14ac:dyDescent="0.25">
      <c r="A33" s="95"/>
      <c r="B33" s="94"/>
      <c r="C33" s="15" t="s">
        <v>86</v>
      </c>
      <c r="D33" s="54">
        <v>1009.56</v>
      </c>
    </row>
    <row r="34" spans="1:4" ht="47.65" customHeight="1" x14ac:dyDescent="0.25">
      <c r="A34" s="95"/>
      <c r="B34" s="94"/>
      <c r="C34" s="15" t="s">
        <v>87</v>
      </c>
      <c r="D34" s="54">
        <v>1009.56</v>
      </c>
    </row>
    <row r="35" spans="1:4" ht="42.75" customHeight="1" x14ac:dyDescent="0.25">
      <c r="B35" s="50"/>
      <c r="C35" s="48" t="s">
        <v>144</v>
      </c>
      <c r="D35" s="54">
        <v>654.48</v>
      </c>
    </row>
    <row r="36" spans="1:4" ht="28.9" customHeight="1" x14ac:dyDescent="0.25">
      <c r="A36" s="22" t="s">
        <v>130</v>
      </c>
      <c r="B36" s="23"/>
      <c r="C36" s="23"/>
      <c r="D36" s="57"/>
    </row>
    <row r="37" spans="1:4" ht="77.099999999999994" customHeight="1" x14ac:dyDescent="0.25">
      <c r="A37" s="95">
        <v>5</v>
      </c>
      <c r="B37" s="59" t="s">
        <v>165</v>
      </c>
      <c r="C37" s="14" t="s">
        <v>23</v>
      </c>
      <c r="D37" s="53">
        <v>9843.5</v>
      </c>
    </row>
    <row r="38" spans="1:4" ht="138.94999999999999" customHeight="1" x14ac:dyDescent="0.25">
      <c r="A38" s="95"/>
      <c r="B38" s="50"/>
      <c r="C38" s="14" t="s">
        <v>27</v>
      </c>
      <c r="D38" s="53">
        <v>10103</v>
      </c>
    </row>
    <row r="39" spans="1:4" ht="105.95" customHeight="1" x14ac:dyDescent="0.25">
      <c r="A39" s="95"/>
      <c r="B39" s="50"/>
      <c r="C39" s="49" t="s">
        <v>147</v>
      </c>
      <c r="D39" s="53">
        <v>7484.04</v>
      </c>
    </row>
    <row r="40" spans="1:4" ht="27.95" customHeight="1" x14ac:dyDescent="0.25">
      <c r="A40" s="95"/>
      <c r="B40" s="50" t="s">
        <v>166</v>
      </c>
      <c r="C40" s="48" t="s">
        <v>144</v>
      </c>
      <c r="D40" s="53">
        <v>975</v>
      </c>
    </row>
    <row r="41" spans="1:4" ht="30" x14ac:dyDescent="0.25">
      <c r="A41" s="95"/>
      <c r="B41" s="50"/>
      <c r="C41" s="15" t="s">
        <v>88</v>
      </c>
      <c r="D41" s="54">
        <v>1515.48</v>
      </c>
    </row>
    <row r="42" spans="1:4" ht="30" x14ac:dyDescent="0.25">
      <c r="A42" s="95"/>
      <c r="B42" s="50"/>
      <c r="C42" s="15" t="s">
        <v>89</v>
      </c>
      <c r="D42" s="54">
        <v>1515.48</v>
      </c>
    </row>
    <row r="43" spans="1:4" ht="24.6" customHeight="1" x14ac:dyDescent="0.25">
      <c r="A43" s="20" t="s">
        <v>132</v>
      </c>
      <c r="B43" s="21"/>
      <c r="C43" s="21"/>
      <c r="D43" s="52"/>
    </row>
    <row r="44" spans="1:4" ht="58.15" customHeight="1" x14ac:dyDescent="0.25">
      <c r="A44" s="95">
        <v>6</v>
      </c>
      <c r="B44" s="50" t="s">
        <v>131</v>
      </c>
      <c r="C44" s="14" t="s">
        <v>24</v>
      </c>
      <c r="D44" s="53">
        <v>13215</v>
      </c>
    </row>
    <row r="45" spans="1:4" ht="172.5" customHeight="1" x14ac:dyDescent="0.25">
      <c r="A45" s="95"/>
      <c r="B45" s="59"/>
      <c r="C45" s="14" t="s">
        <v>146</v>
      </c>
      <c r="D45" s="53">
        <f>14232.5*3</f>
        <v>42697.5</v>
      </c>
    </row>
    <row r="46" spans="1:4" ht="39.200000000000003" customHeight="1" x14ac:dyDescent="0.25">
      <c r="A46" s="95"/>
      <c r="B46" s="50"/>
      <c r="C46" s="15" t="s">
        <v>90</v>
      </c>
      <c r="D46" s="54">
        <v>2135.5</v>
      </c>
    </row>
    <row r="47" spans="1:4" ht="42.75" customHeight="1" x14ac:dyDescent="0.25">
      <c r="A47" s="95"/>
      <c r="B47" s="50"/>
      <c r="C47" s="15" t="s">
        <v>148</v>
      </c>
      <c r="D47" s="54">
        <f>2135.5*3</f>
        <v>6406.5</v>
      </c>
    </row>
    <row r="48" spans="1:4" ht="42.75" customHeight="1" x14ac:dyDescent="0.25">
      <c r="B48" s="50"/>
      <c r="C48" s="48" t="s">
        <v>144</v>
      </c>
      <c r="D48" s="54">
        <f>1308.96</f>
        <v>1308.96</v>
      </c>
    </row>
    <row r="49" spans="5:5" ht="24.4" customHeight="1" x14ac:dyDescent="0.25">
      <c r="E49" s="64"/>
    </row>
  </sheetData>
  <mergeCells count="11">
    <mergeCell ref="A1:D1"/>
    <mergeCell ref="A6:A10"/>
    <mergeCell ref="B14:B18"/>
    <mergeCell ref="A14:A18"/>
    <mergeCell ref="A44:A47"/>
    <mergeCell ref="A2:B2"/>
    <mergeCell ref="C2:D2"/>
    <mergeCell ref="A21:A26"/>
    <mergeCell ref="B30:B34"/>
    <mergeCell ref="A30:A34"/>
    <mergeCell ref="A37:A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zoomScale="80" zoomScaleNormal="90" workbookViewId="0">
      <selection activeCell="E4" sqref="E4:G4"/>
    </sheetView>
  </sheetViews>
  <sheetFormatPr defaultColWidth="9" defaultRowHeight="14.25" x14ac:dyDescent="0.25"/>
  <cols>
    <col min="1" max="1" width="5.5703125" style="5" customWidth="1"/>
    <col min="2" max="2" width="11" style="5" customWidth="1"/>
    <col min="3" max="3" width="89.85546875" style="5" customWidth="1"/>
    <col min="4" max="4" width="19.85546875" style="47" customWidth="1"/>
    <col min="5" max="5" width="8.5703125" style="5" bestFit="1" customWidth="1"/>
    <col min="6" max="6" width="11.5703125" style="5" bestFit="1" customWidth="1"/>
    <col min="7" max="7" width="19.5703125" style="5" bestFit="1" customWidth="1"/>
    <col min="8" max="16384" width="9" style="5"/>
  </cols>
  <sheetData>
    <row r="1" spans="1:7" ht="31.7" customHeight="1" x14ac:dyDescent="0.25">
      <c r="A1" s="98" t="s">
        <v>120</v>
      </c>
      <c r="B1" s="98"/>
      <c r="C1" s="98"/>
      <c r="D1" s="98"/>
    </row>
    <row r="2" spans="1:7" ht="20.25" customHeight="1" x14ac:dyDescent="0.25">
      <c r="A2" s="100" t="s">
        <v>119</v>
      </c>
      <c r="B2" s="100"/>
      <c r="C2" s="101"/>
      <c r="D2" s="102"/>
    </row>
    <row r="4" spans="1:7" ht="36.4" customHeight="1" x14ac:dyDescent="0.25">
      <c r="A4" s="39" t="s">
        <v>0</v>
      </c>
      <c r="B4" s="39" t="s">
        <v>7</v>
      </c>
      <c r="C4" s="39" t="s">
        <v>8</v>
      </c>
      <c r="D4" s="40" t="s">
        <v>9</v>
      </c>
      <c r="E4" s="75" t="s">
        <v>168</v>
      </c>
      <c r="F4" s="76" t="s">
        <v>171</v>
      </c>
      <c r="G4" s="77" t="s">
        <v>173</v>
      </c>
    </row>
    <row r="5" spans="1:7" ht="26.1" customHeight="1" x14ac:dyDescent="0.25">
      <c r="A5" s="37" t="s">
        <v>121</v>
      </c>
      <c r="B5" s="38"/>
      <c r="C5" s="38"/>
      <c r="D5" s="41"/>
    </row>
    <row r="6" spans="1:7" ht="53.1" customHeight="1" x14ac:dyDescent="0.25">
      <c r="A6" s="97">
        <v>1</v>
      </c>
      <c r="B6" s="99" t="s">
        <v>114</v>
      </c>
      <c r="C6" s="6" t="s">
        <v>97</v>
      </c>
      <c r="D6" s="42">
        <v>20420.5</v>
      </c>
    </row>
    <row r="7" spans="1:7" ht="133.5" customHeight="1" x14ac:dyDescent="0.25">
      <c r="A7" s="97"/>
      <c r="B7" s="99"/>
      <c r="C7" s="6" t="s">
        <v>98</v>
      </c>
      <c r="D7" s="42">
        <v>19913</v>
      </c>
    </row>
    <row r="8" spans="1:7" ht="40.700000000000003" customHeight="1" x14ac:dyDescent="0.25">
      <c r="A8" s="97"/>
      <c r="B8" s="99"/>
      <c r="C8" s="7" t="s">
        <v>99</v>
      </c>
      <c r="D8" s="43">
        <v>2988</v>
      </c>
    </row>
    <row r="9" spans="1:7" ht="42.75" customHeight="1" x14ac:dyDescent="0.25">
      <c r="A9" s="97"/>
      <c r="B9" s="99"/>
      <c r="C9" s="7" t="s">
        <v>100</v>
      </c>
      <c r="D9" s="43">
        <v>2988</v>
      </c>
    </row>
    <row r="10" spans="1:7" ht="24.6" customHeight="1" x14ac:dyDescent="0.25">
      <c r="A10" s="35" t="s">
        <v>113</v>
      </c>
      <c r="B10" s="36"/>
      <c r="C10" s="36"/>
      <c r="D10" s="44"/>
    </row>
    <row r="11" spans="1:7" ht="51" customHeight="1" x14ac:dyDescent="0.25">
      <c r="A11" s="97">
        <v>2</v>
      </c>
      <c r="B11" s="99" t="s">
        <v>115</v>
      </c>
      <c r="C11" s="6" t="s">
        <v>101</v>
      </c>
      <c r="D11" s="42">
        <v>31724</v>
      </c>
    </row>
    <row r="12" spans="1:7" ht="134.1" customHeight="1" x14ac:dyDescent="0.25">
      <c r="A12" s="97"/>
      <c r="B12" s="99"/>
      <c r="C12" s="6" t="s">
        <v>102</v>
      </c>
      <c r="D12" s="42">
        <v>29560.5</v>
      </c>
    </row>
    <row r="13" spans="1:7" ht="36.75" customHeight="1" x14ac:dyDescent="0.25">
      <c r="A13" s="97"/>
      <c r="B13" s="99"/>
      <c r="C13" s="7" t="s">
        <v>103</v>
      </c>
      <c r="D13" s="43">
        <v>4434</v>
      </c>
    </row>
    <row r="14" spans="1:7" ht="40.35" customHeight="1" x14ac:dyDescent="0.25">
      <c r="A14" s="97"/>
      <c r="B14" s="99"/>
      <c r="C14" s="7" t="s">
        <v>104</v>
      </c>
      <c r="D14" s="43">
        <v>4434</v>
      </c>
    </row>
    <row r="15" spans="1:7" ht="25.35" customHeight="1" x14ac:dyDescent="0.25">
      <c r="A15" s="103" t="s">
        <v>116</v>
      </c>
      <c r="B15" s="103"/>
      <c r="C15" s="34"/>
      <c r="D15" s="45"/>
    </row>
    <row r="16" spans="1:7" ht="57.75" x14ac:dyDescent="0.25">
      <c r="A16" s="97">
        <v>3</v>
      </c>
      <c r="B16" s="99" t="s">
        <v>117</v>
      </c>
      <c r="C16" s="6" t="s">
        <v>105</v>
      </c>
      <c r="D16" s="42">
        <v>44413.599999999999</v>
      </c>
    </row>
    <row r="17" spans="1:4" ht="133.15" customHeight="1" x14ac:dyDescent="0.25">
      <c r="A17" s="97"/>
      <c r="B17" s="99"/>
      <c r="C17" s="6" t="s">
        <v>106</v>
      </c>
      <c r="D17" s="42">
        <v>41384.699999999997</v>
      </c>
    </row>
    <row r="18" spans="1:4" ht="29.25" x14ac:dyDescent="0.25">
      <c r="A18" s="97"/>
      <c r="B18" s="99"/>
      <c r="C18" s="7" t="s">
        <v>107</v>
      </c>
      <c r="D18" s="43">
        <v>6207.6</v>
      </c>
    </row>
    <row r="19" spans="1:4" ht="29.25" x14ac:dyDescent="0.25">
      <c r="A19" s="97"/>
      <c r="B19" s="99"/>
      <c r="C19" s="7" t="s">
        <v>108</v>
      </c>
      <c r="D19" s="43">
        <v>6207.6</v>
      </c>
    </row>
    <row r="20" spans="1:4" ht="25.7" customHeight="1" x14ac:dyDescent="0.25">
      <c r="A20" s="32" t="s">
        <v>118</v>
      </c>
      <c r="B20" s="33"/>
      <c r="C20" s="33"/>
      <c r="D20" s="46"/>
    </row>
    <row r="21" spans="1:4" ht="68.099999999999994" customHeight="1" x14ac:dyDescent="0.25">
      <c r="A21" s="97">
        <v>4</v>
      </c>
      <c r="B21" s="99" t="s">
        <v>122</v>
      </c>
      <c r="C21" s="6" t="s">
        <v>109</v>
      </c>
      <c r="D21" s="42">
        <v>57737.7</v>
      </c>
    </row>
    <row r="22" spans="1:4" ht="137.1" customHeight="1" x14ac:dyDescent="0.25">
      <c r="A22" s="97"/>
      <c r="B22" s="99"/>
      <c r="C22" s="6" t="s">
        <v>110</v>
      </c>
      <c r="D22" s="42">
        <v>53800</v>
      </c>
    </row>
    <row r="23" spans="1:4" ht="42.75" customHeight="1" x14ac:dyDescent="0.25">
      <c r="A23" s="97"/>
      <c r="B23" s="99"/>
      <c r="C23" s="7" t="s">
        <v>111</v>
      </c>
      <c r="D23" s="43">
        <v>8069.88</v>
      </c>
    </row>
    <row r="24" spans="1:4" ht="37.700000000000003" customHeight="1" x14ac:dyDescent="0.25">
      <c r="A24" s="97"/>
      <c r="B24" s="99"/>
      <c r="C24" s="7" t="s">
        <v>112</v>
      </c>
      <c r="D24" s="43">
        <v>8069.88</v>
      </c>
    </row>
  </sheetData>
  <mergeCells count="12">
    <mergeCell ref="A6:A9"/>
    <mergeCell ref="A1:D1"/>
    <mergeCell ref="B21:B24"/>
    <mergeCell ref="A21:A24"/>
    <mergeCell ref="B16:B19"/>
    <mergeCell ref="A16:A19"/>
    <mergeCell ref="B11:B14"/>
    <mergeCell ref="A11:A14"/>
    <mergeCell ref="B6:B9"/>
    <mergeCell ref="A2:B2"/>
    <mergeCell ref="C2:D2"/>
    <mergeCell ref="A15:B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zoomScale="90" zoomScaleNormal="90" workbookViewId="0">
      <selection activeCell="K7" sqref="K7"/>
    </sheetView>
  </sheetViews>
  <sheetFormatPr defaultColWidth="9" defaultRowHeight="15" x14ac:dyDescent="0.25"/>
  <cols>
    <col min="1" max="1" width="5.5703125" style="11" customWidth="1"/>
    <col min="2" max="2" width="13.85546875" style="11" customWidth="1"/>
    <col min="3" max="3" width="89.85546875" style="11" customWidth="1"/>
    <col min="4" max="4" width="19.85546875" style="11" customWidth="1"/>
    <col min="5" max="5" width="8.5703125" style="11" bestFit="1" customWidth="1"/>
    <col min="6" max="6" width="11.7109375" style="11" bestFit="1" customWidth="1"/>
    <col min="7" max="7" width="19.5703125" style="11" bestFit="1" customWidth="1"/>
    <col min="8" max="16384" width="9" style="11"/>
  </cols>
  <sheetData>
    <row r="1" spans="1:7" ht="34.5" customHeight="1" x14ac:dyDescent="0.25">
      <c r="A1" s="104" t="s">
        <v>123</v>
      </c>
      <c r="B1" s="104"/>
      <c r="C1" s="104"/>
      <c r="D1" s="104"/>
    </row>
    <row r="2" spans="1:7" ht="18.95" customHeight="1" x14ac:dyDescent="0.25">
      <c r="A2" s="91" t="s">
        <v>119</v>
      </c>
      <c r="B2" s="91"/>
      <c r="C2" s="92"/>
      <c r="D2" s="93"/>
    </row>
    <row r="3" spans="1:7" ht="15.75" thickBot="1" x14ac:dyDescent="0.3"/>
    <row r="4" spans="1:7" ht="31.5" x14ac:dyDescent="0.25">
      <c r="A4" s="8" t="s">
        <v>0</v>
      </c>
      <c r="B4" s="8" t="s">
        <v>7</v>
      </c>
      <c r="C4" s="9" t="s">
        <v>8</v>
      </c>
      <c r="D4" s="10" t="s">
        <v>9</v>
      </c>
      <c r="E4" s="75" t="s">
        <v>168</v>
      </c>
      <c r="F4" s="76" t="s">
        <v>171</v>
      </c>
      <c r="G4" s="77" t="s">
        <v>173</v>
      </c>
    </row>
    <row r="5" spans="1:7" x14ac:dyDescent="0.25">
      <c r="A5" s="12" t="s">
        <v>38</v>
      </c>
      <c r="B5" s="13"/>
      <c r="C5" s="13"/>
      <c r="D5" s="4"/>
    </row>
    <row r="6" spans="1:7" ht="45" x14ac:dyDescent="0.25">
      <c r="A6" s="85">
        <v>1</v>
      </c>
      <c r="B6" s="88" t="s">
        <v>40</v>
      </c>
      <c r="C6" s="14" t="s">
        <v>41</v>
      </c>
      <c r="D6" s="1">
        <v>495</v>
      </c>
    </row>
    <row r="7" spans="1:7" ht="133.5" customHeight="1" x14ac:dyDescent="0.25">
      <c r="A7" s="86"/>
      <c r="B7" s="89"/>
      <c r="C7" s="14" t="s">
        <v>39</v>
      </c>
      <c r="D7" s="1">
        <v>923.4</v>
      </c>
    </row>
    <row r="8" spans="1:7" ht="35.450000000000003" customHeight="1" x14ac:dyDescent="0.25">
      <c r="A8" s="86"/>
      <c r="B8" s="89"/>
      <c r="C8" s="15" t="s">
        <v>42</v>
      </c>
      <c r="D8" s="2">
        <v>138.6</v>
      </c>
    </row>
    <row r="9" spans="1:7" ht="28.5" customHeight="1" x14ac:dyDescent="0.25">
      <c r="A9" s="87"/>
      <c r="B9" s="90"/>
      <c r="C9" s="15" t="s">
        <v>43</v>
      </c>
      <c r="D9" s="2">
        <v>138.6</v>
      </c>
    </row>
    <row r="10" spans="1:7" ht="25.35" customHeight="1" x14ac:dyDescent="0.25">
      <c r="A10" s="12" t="s">
        <v>45</v>
      </c>
      <c r="B10" s="13"/>
      <c r="C10" s="13"/>
      <c r="D10" s="4"/>
    </row>
    <row r="11" spans="1:7" ht="45" x14ac:dyDescent="0.25">
      <c r="A11" s="85">
        <v>2</v>
      </c>
      <c r="B11" s="88" t="s">
        <v>44</v>
      </c>
      <c r="C11" s="14" t="s">
        <v>46</v>
      </c>
      <c r="D11" s="1">
        <v>1195</v>
      </c>
    </row>
    <row r="12" spans="1:7" ht="134.1" customHeight="1" x14ac:dyDescent="0.25">
      <c r="A12" s="86"/>
      <c r="B12" s="89"/>
      <c r="C12" s="14" t="s">
        <v>47</v>
      </c>
      <c r="D12" s="1">
        <v>2229</v>
      </c>
    </row>
    <row r="13" spans="1:7" ht="30" x14ac:dyDescent="0.25">
      <c r="A13" s="86"/>
      <c r="B13" s="89"/>
      <c r="C13" s="15" t="s">
        <v>48</v>
      </c>
      <c r="D13" s="2">
        <v>334.2</v>
      </c>
    </row>
    <row r="14" spans="1:7" ht="30" x14ac:dyDescent="0.25">
      <c r="A14" s="87"/>
      <c r="B14" s="90"/>
      <c r="C14" s="15" t="s">
        <v>49</v>
      </c>
      <c r="D14" s="2">
        <v>334.2</v>
      </c>
    </row>
    <row r="15" spans="1:7" x14ac:dyDescent="0.25">
      <c r="A15" s="12" t="s">
        <v>50</v>
      </c>
      <c r="B15" s="13"/>
      <c r="C15" s="13"/>
      <c r="D15" s="4"/>
    </row>
    <row r="16" spans="1:7" ht="45" x14ac:dyDescent="0.25">
      <c r="A16" s="85">
        <v>3</v>
      </c>
      <c r="B16" s="88" t="s">
        <v>55</v>
      </c>
      <c r="C16" s="14" t="s">
        <v>51</v>
      </c>
      <c r="D16" s="1">
        <v>2295</v>
      </c>
    </row>
    <row r="17" spans="1:4" ht="133.15" customHeight="1" x14ac:dyDescent="0.25">
      <c r="A17" s="86"/>
      <c r="B17" s="89"/>
      <c r="C17" s="14" t="s">
        <v>52</v>
      </c>
      <c r="D17" s="1">
        <v>4281</v>
      </c>
    </row>
    <row r="18" spans="1:4" ht="30" x14ac:dyDescent="0.25">
      <c r="A18" s="86"/>
      <c r="B18" s="89"/>
      <c r="C18" s="15" t="s">
        <v>53</v>
      </c>
      <c r="D18" s="2">
        <v>642</v>
      </c>
    </row>
    <row r="19" spans="1:4" ht="30" x14ac:dyDescent="0.25">
      <c r="A19" s="87"/>
      <c r="B19" s="90"/>
      <c r="C19" s="15" t="s">
        <v>54</v>
      </c>
      <c r="D19" s="2">
        <v>642</v>
      </c>
    </row>
    <row r="20" spans="1:4" x14ac:dyDescent="0.25">
      <c r="A20" s="12" t="s">
        <v>56</v>
      </c>
      <c r="B20" s="13"/>
      <c r="C20" s="13"/>
      <c r="D20" s="4"/>
    </row>
    <row r="21" spans="1:4" ht="45" x14ac:dyDescent="0.25">
      <c r="A21" s="85">
        <v>4</v>
      </c>
      <c r="B21" s="88" t="s">
        <v>58</v>
      </c>
      <c r="C21" s="14" t="s">
        <v>57</v>
      </c>
      <c r="D21" s="1">
        <v>3845</v>
      </c>
    </row>
    <row r="22" spans="1:4" ht="137.1" customHeight="1" x14ac:dyDescent="0.25">
      <c r="A22" s="86"/>
      <c r="B22" s="89"/>
      <c r="C22" s="14" t="s">
        <v>59</v>
      </c>
      <c r="D22" s="1">
        <v>7171.2</v>
      </c>
    </row>
    <row r="23" spans="1:4" ht="30" x14ac:dyDescent="0.25">
      <c r="A23" s="86"/>
      <c r="B23" s="89"/>
      <c r="C23" s="15" t="s">
        <v>60</v>
      </c>
      <c r="D23" s="2">
        <v>1075.8</v>
      </c>
    </row>
    <row r="24" spans="1:4" ht="30" x14ac:dyDescent="0.25">
      <c r="A24" s="87"/>
      <c r="B24" s="90"/>
      <c r="C24" s="15" t="s">
        <v>61</v>
      </c>
      <c r="D24" s="2">
        <v>1075.8</v>
      </c>
    </row>
    <row r="25" spans="1:4" x14ac:dyDescent="0.25">
      <c r="A25" s="12" t="s">
        <v>62</v>
      </c>
      <c r="B25" s="13"/>
      <c r="C25" s="13"/>
      <c r="D25" s="4"/>
    </row>
    <row r="26" spans="1:4" ht="45" x14ac:dyDescent="0.25">
      <c r="A26" s="85">
        <v>5</v>
      </c>
      <c r="B26" s="88" t="s">
        <v>64</v>
      </c>
      <c r="C26" s="14" t="s">
        <v>63</v>
      </c>
      <c r="D26" s="1">
        <v>5995</v>
      </c>
    </row>
    <row r="27" spans="1:4" ht="195" x14ac:dyDescent="0.25">
      <c r="A27" s="86"/>
      <c r="B27" s="89"/>
      <c r="C27" s="14" t="s">
        <v>65</v>
      </c>
      <c r="D27" s="1">
        <v>11182.2</v>
      </c>
    </row>
    <row r="28" spans="1:4" ht="30" x14ac:dyDescent="0.25">
      <c r="A28" s="86"/>
      <c r="B28" s="89"/>
      <c r="C28" s="15" t="s">
        <v>66</v>
      </c>
      <c r="D28" s="2">
        <v>1509.8</v>
      </c>
    </row>
    <row r="29" spans="1:4" ht="30" x14ac:dyDescent="0.25">
      <c r="A29" s="87"/>
      <c r="B29" s="90"/>
      <c r="C29" s="15" t="s">
        <v>67</v>
      </c>
      <c r="D29" s="2">
        <v>1509.8</v>
      </c>
    </row>
    <row r="30" spans="1:4" x14ac:dyDescent="0.25">
      <c r="A30" s="12" t="s">
        <v>68</v>
      </c>
      <c r="B30" s="13"/>
      <c r="C30" s="13"/>
      <c r="D30" s="4"/>
    </row>
    <row r="31" spans="1:4" ht="45" x14ac:dyDescent="0.25">
      <c r="A31" s="85">
        <v>6</v>
      </c>
      <c r="B31" s="88" t="s">
        <v>71</v>
      </c>
      <c r="C31" s="14" t="s">
        <v>69</v>
      </c>
      <c r="D31" s="1">
        <v>10995</v>
      </c>
    </row>
    <row r="32" spans="1:4" ht="195" x14ac:dyDescent="0.25">
      <c r="A32" s="86"/>
      <c r="B32" s="89"/>
      <c r="C32" s="14" t="s">
        <v>70</v>
      </c>
      <c r="D32" s="1">
        <v>20508</v>
      </c>
    </row>
    <row r="33" spans="1:4" ht="30" x14ac:dyDescent="0.25">
      <c r="A33" s="86"/>
      <c r="B33" s="89"/>
      <c r="C33" s="15" t="s">
        <v>72</v>
      </c>
      <c r="D33" s="2">
        <v>3076.2</v>
      </c>
    </row>
    <row r="34" spans="1:4" ht="30" x14ac:dyDescent="0.25">
      <c r="A34" s="87"/>
      <c r="B34" s="90"/>
      <c r="C34" s="15" t="s">
        <v>73</v>
      </c>
      <c r="D34" s="2">
        <v>3076.2</v>
      </c>
    </row>
    <row r="35" spans="1:4" x14ac:dyDescent="0.25">
      <c r="A35" s="12" t="s">
        <v>74</v>
      </c>
      <c r="B35" s="13"/>
      <c r="C35" s="13"/>
      <c r="D35" s="4"/>
    </row>
    <row r="36" spans="1:4" ht="45" x14ac:dyDescent="0.25">
      <c r="A36" s="85">
        <v>7</v>
      </c>
      <c r="B36" s="88" t="s">
        <v>75</v>
      </c>
      <c r="C36" s="14" t="s">
        <v>76</v>
      </c>
      <c r="D36" s="1">
        <v>14995</v>
      </c>
    </row>
    <row r="37" spans="1:4" ht="195" x14ac:dyDescent="0.25">
      <c r="A37" s="86"/>
      <c r="B37" s="89"/>
      <c r="C37" s="14" t="s">
        <v>77</v>
      </c>
      <c r="D37" s="1">
        <v>27968.400000000001</v>
      </c>
    </row>
    <row r="38" spans="1:4" ht="30" x14ac:dyDescent="0.25">
      <c r="A38" s="86"/>
      <c r="B38" s="89"/>
      <c r="C38" s="15" t="s">
        <v>78</v>
      </c>
      <c r="D38" s="2">
        <v>4195.2</v>
      </c>
    </row>
    <row r="39" spans="1:4" ht="30" x14ac:dyDescent="0.25">
      <c r="A39" s="87"/>
      <c r="B39" s="90"/>
      <c r="C39" s="15" t="s">
        <v>79</v>
      </c>
      <c r="D39" s="2">
        <v>4195.2</v>
      </c>
    </row>
  </sheetData>
  <mergeCells count="17">
    <mergeCell ref="A26:A29"/>
    <mergeCell ref="B26:B29"/>
    <mergeCell ref="A31:A34"/>
    <mergeCell ref="B31:B34"/>
    <mergeCell ref="A36:A39"/>
    <mergeCell ref="B36:B39"/>
    <mergeCell ref="A1:D1"/>
    <mergeCell ref="B6:B9"/>
    <mergeCell ref="A6:A9"/>
    <mergeCell ref="A11:A14"/>
    <mergeCell ref="B11:B14"/>
    <mergeCell ref="C2:D2"/>
    <mergeCell ref="A16:A19"/>
    <mergeCell ref="B16:B19"/>
    <mergeCell ref="A21:A24"/>
    <mergeCell ref="B21:B24"/>
    <mergeCell ref="A2:B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tabSelected="1" zoomScale="85" zoomScaleNormal="85" workbookViewId="0">
      <selection activeCell="L12" sqref="L12"/>
    </sheetView>
  </sheetViews>
  <sheetFormatPr defaultColWidth="9" defaultRowHeight="15" x14ac:dyDescent="0.25"/>
  <cols>
    <col min="1" max="1" width="7.140625" style="11" customWidth="1"/>
    <col min="2" max="2" width="44.5703125" style="11" customWidth="1"/>
    <col min="3" max="3" width="65.140625" style="11" customWidth="1"/>
    <col min="4" max="4" width="27.140625" style="11" bestFit="1" customWidth="1"/>
    <col min="5" max="5" width="14.85546875" style="11" bestFit="1" customWidth="1"/>
    <col min="6" max="6" width="11.28515625" style="11" bestFit="1" customWidth="1"/>
    <col min="7" max="7" width="19.42578125" style="11" bestFit="1" customWidth="1"/>
    <col min="8" max="16384" width="9" style="11"/>
  </cols>
  <sheetData>
    <row r="1" spans="1:7" ht="31.35" customHeight="1" x14ac:dyDescent="0.25">
      <c r="A1" s="111" t="s">
        <v>124</v>
      </c>
      <c r="B1" s="111"/>
      <c r="C1" s="111"/>
      <c r="D1" s="111"/>
    </row>
    <row r="2" spans="1:7" ht="19.350000000000001" customHeight="1" x14ac:dyDescent="0.25">
      <c r="A2" s="91" t="s">
        <v>119</v>
      </c>
      <c r="B2" s="91"/>
      <c r="C2" s="92" t="s">
        <v>172</v>
      </c>
      <c r="D2" s="93"/>
    </row>
    <row r="3" spans="1:7" ht="15.75" thickBot="1" x14ac:dyDescent="0.3"/>
    <row r="4" spans="1:7" ht="26.1" customHeight="1" x14ac:dyDescent="0.25">
      <c r="A4" s="17" t="s">
        <v>0</v>
      </c>
      <c r="B4" s="18" t="s">
        <v>7</v>
      </c>
      <c r="C4" s="19" t="s">
        <v>8</v>
      </c>
      <c r="D4" s="78" t="s">
        <v>9</v>
      </c>
      <c r="E4" s="75" t="s">
        <v>168</v>
      </c>
      <c r="F4" s="76" t="s">
        <v>171</v>
      </c>
      <c r="G4" s="83" t="s">
        <v>173</v>
      </c>
    </row>
    <row r="5" spans="1:7" ht="51.75" customHeight="1" x14ac:dyDescent="0.25">
      <c r="A5" s="108" t="s">
        <v>92</v>
      </c>
      <c r="B5" s="109"/>
      <c r="C5" s="110"/>
      <c r="D5" s="79"/>
      <c r="E5" s="69"/>
      <c r="F5" s="69"/>
      <c r="G5" s="69"/>
    </row>
    <row r="6" spans="1:7" ht="45.75" customHeight="1" thickBot="1" x14ac:dyDescent="0.3">
      <c r="A6" s="105">
        <v>1</v>
      </c>
      <c r="B6" s="3" t="s">
        <v>174</v>
      </c>
      <c r="C6" s="16" t="s">
        <v>91</v>
      </c>
      <c r="D6" s="80">
        <v>135</v>
      </c>
      <c r="E6" s="69"/>
      <c r="F6" s="69"/>
      <c r="G6" s="69"/>
    </row>
    <row r="7" spans="1:7" ht="36" customHeight="1" thickBot="1" x14ac:dyDescent="0.3">
      <c r="A7" s="106"/>
      <c r="B7" s="3" t="s">
        <v>175</v>
      </c>
      <c r="C7" s="16" t="s">
        <v>91</v>
      </c>
      <c r="D7" s="80">
        <v>126</v>
      </c>
      <c r="E7" s="69"/>
      <c r="F7" s="69"/>
      <c r="G7" s="69"/>
    </row>
    <row r="8" spans="1:7" ht="32.25" customHeight="1" thickBot="1" x14ac:dyDescent="0.3">
      <c r="A8" s="106"/>
      <c r="B8" s="3" t="s">
        <v>176</v>
      </c>
      <c r="C8" s="16" t="s">
        <v>91</v>
      </c>
      <c r="D8" s="80">
        <v>117</v>
      </c>
      <c r="E8" s="69"/>
      <c r="F8" s="69"/>
      <c r="G8" s="69"/>
    </row>
    <row r="9" spans="1:7" ht="23.25" customHeight="1" thickBot="1" x14ac:dyDescent="0.3">
      <c r="A9" s="106"/>
      <c r="B9" s="3" t="s">
        <v>177</v>
      </c>
      <c r="C9" s="16" t="s">
        <v>91</v>
      </c>
      <c r="D9" s="80">
        <v>99</v>
      </c>
      <c r="E9" s="69"/>
      <c r="F9" s="69"/>
      <c r="G9" s="69"/>
    </row>
    <row r="10" spans="1:7" ht="27.75" customHeight="1" thickBot="1" x14ac:dyDescent="0.3">
      <c r="A10" s="106"/>
      <c r="B10" s="3" t="s">
        <v>178</v>
      </c>
      <c r="C10" s="16" t="s">
        <v>91</v>
      </c>
      <c r="D10" s="80">
        <v>90</v>
      </c>
      <c r="E10" s="69"/>
      <c r="F10" s="69"/>
      <c r="G10" s="69"/>
    </row>
    <row r="11" spans="1:7" ht="21" customHeight="1" thickBot="1" x14ac:dyDescent="0.3">
      <c r="A11" s="107"/>
      <c r="B11" s="3" t="s">
        <v>179</v>
      </c>
      <c r="C11" s="16" t="s">
        <v>91</v>
      </c>
      <c r="D11" s="80">
        <v>81</v>
      </c>
      <c r="E11" s="69"/>
      <c r="F11" s="69"/>
      <c r="G11" s="69"/>
    </row>
    <row r="12" spans="1:7" x14ac:dyDescent="0.25">
      <c r="A12" s="108" t="s">
        <v>94</v>
      </c>
      <c r="B12" s="109"/>
      <c r="C12" s="110"/>
      <c r="D12" s="79"/>
      <c r="E12" s="69"/>
      <c r="F12" s="69"/>
      <c r="G12" s="69"/>
    </row>
    <row r="13" spans="1:7" ht="36.75" customHeight="1" thickBot="1" x14ac:dyDescent="0.3">
      <c r="A13" s="105">
        <v>2</v>
      </c>
      <c r="B13" s="3" t="s">
        <v>180</v>
      </c>
      <c r="C13" s="16" t="s">
        <v>93</v>
      </c>
      <c r="D13" s="80">
        <v>120</v>
      </c>
      <c r="E13" s="69"/>
      <c r="F13" s="69"/>
      <c r="G13" s="69"/>
    </row>
    <row r="14" spans="1:7" ht="30" customHeight="1" thickBot="1" x14ac:dyDescent="0.3">
      <c r="A14" s="106"/>
      <c r="B14" s="3" t="s">
        <v>181</v>
      </c>
      <c r="C14" s="16" t="s">
        <v>93</v>
      </c>
      <c r="D14" s="80">
        <v>55.46</v>
      </c>
      <c r="E14" s="69"/>
      <c r="F14" s="69"/>
      <c r="G14" s="69"/>
    </row>
    <row r="15" spans="1:7" ht="28.5" customHeight="1" thickBot="1" x14ac:dyDescent="0.3">
      <c r="A15" s="106"/>
      <c r="B15" s="3" t="s">
        <v>182</v>
      </c>
      <c r="C15" s="16" t="s">
        <v>93</v>
      </c>
      <c r="D15" s="80">
        <v>55.46</v>
      </c>
      <c r="E15" s="69"/>
      <c r="F15" s="69"/>
      <c r="G15" s="69"/>
    </row>
    <row r="16" spans="1:7" ht="22.5" customHeight="1" thickBot="1" x14ac:dyDescent="0.3">
      <c r="A16" s="106"/>
      <c r="B16" s="3" t="s">
        <v>183</v>
      </c>
      <c r="C16" s="16" t="s">
        <v>93</v>
      </c>
      <c r="D16" s="80">
        <v>50.42</v>
      </c>
      <c r="E16" s="69"/>
      <c r="F16" s="69"/>
      <c r="G16" s="69"/>
    </row>
    <row r="17" spans="1:7" ht="33" customHeight="1" thickBot="1" x14ac:dyDescent="0.3">
      <c r="A17" s="107"/>
      <c r="B17" s="3" t="s">
        <v>184</v>
      </c>
      <c r="C17" s="16" t="s">
        <v>93</v>
      </c>
      <c r="D17" s="80">
        <v>50.42</v>
      </c>
      <c r="E17" s="69"/>
      <c r="F17" s="69"/>
      <c r="G17" s="69"/>
    </row>
    <row r="18" spans="1:7" x14ac:dyDescent="0.25">
      <c r="A18" s="108" t="s">
        <v>95</v>
      </c>
      <c r="B18" s="109"/>
      <c r="C18" s="110"/>
      <c r="D18" s="81"/>
      <c r="E18" s="53"/>
      <c r="F18" s="69"/>
      <c r="G18" s="69"/>
    </row>
    <row r="19" spans="1:7" ht="28.5" customHeight="1" thickBot="1" x14ac:dyDescent="0.3">
      <c r="A19" s="105">
        <v>3</v>
      </c>
      <c r="B19" s="3" t="s">
        <v>185</v>
      </c>
      <c r="C19" s="16" t="s">
        <v>96</v>
      </c>
      <c r="D19" s="82">
        <v>91.8</v>
      </c>
      <c r="E19" s="69"/>
      <c r="F19" s="69"/>
      <c r="G19" s="69"/>
    </row>
    <row r="20" spans="1:7" ht="35.25" customHeight="1" thickBot="1" x14ac:dyDescent="0.3">
      <c r="A20" s="106"/>
      <c r="B20" s="3" t="s">
        <v>186</v>
      </c>
      <c r="C20" s="16" t="s">
        <v>96</v>
      </c>
      <c r="D20" s="82">
        <v>76.569999999999993</v>
      </c>
      <c r="E20" s="69"/>
      <c r="F20" s="69"/>
      <c r="G20" s="69"/>
    </row>
    <row r="21" spans="1:7" ht="43.5" customHeight="1" thickBot="1" x14ac:dyDescent="0.3">
      <c r="A21" s="106"/>
      <c r="B21" s="3" t="s">
        <v>187</v>
      </c>
      <c r="C21" s="16" t="s">
        <v>96</v>
      </c>
      <c r="D21" s="82">
        <v>66.099999999999994</v>
      </c>
      <c r="E21" s="69"/>
      <c r="F21" s="69"/>
      <c r="G21" s="69"/>
    </row>
    <row r="22" spans="1:7" ht="35.25" customHeight="1" thickBot="1" x14ac:dyDescent="0.3">
      <c r="A22" s="106"/>
      <c r="B22" s="3" t="s">
        <v>188</v>
      </c>
      <c r="C22" s="16" t="s">
        <v>96</v>
      </c>
      <c r="D22" s="82">
        <v>59.03</v>
      </c>
      <c r="E22" s="69"/>
      <c r="F22" s="69"/>
      <c r="G22" s="69"/>
    </row>
    <row r="23" spans="1:7" ht="42.75" customHeight="1" thickBot="1" x14ac:dyDescent="0.3">
      <c r="A23" s="106"/>
      <c r="B23" s="3" t="s">
        <v>189</v>
      </c>
      <c r="C23" s="16" t="s">
        <v>96</v>
      </c>
      <c r="D23" s="82">
        <v>54.7</v>
      </c>
      <c r="E23" s="69"/>
      <c r="F23" s="69"/>
      <c r="G23" s="69"/>
    </row>
    <row r="24" spans="1:7" ht="28.5" customHeight="1" thickBot="1" x14ac:dyDescent="0.3">
      <c r="A24" s="106"/>
      <c r="B24" s="3" t="s">
        <v>190</v>
      </c>
      <c r="C24" s="16" t="s">
        <v>96</v>
      </c>
      <c r="D24" s="82">
        <v>52.67</v>
      </c>
      <c r="E24" s="69"/>
      <c r="F24" s="69"/>
      <c r="G24" s="69"/>
    </row>
    <row r="25" spans="1:7" ht="24" customHeight="1" thickBot="1" x14ac:dyDescent="0.3">
      <c r="A25" s="107"/>
      <c r="B25" s="3" t="s">
        <v>191</v>
      </c>
      <c r="C25" s="16" t="s">
        <v>96</v>
      </c>
      <c r="D25" s="82">
        <v>50.53</v>
      </c>
      <c r="E25" s="69"/>
      <c r="F25" s="69"/>
      <c r="G25" s="69"/>
    </row>
    <row r="26" spans="1:7" ht="24" customHeight="1" x14ac:dyDescent="0.25"/>
    <row r="27" spans="1:7" ht="24" customHeight="1" x14ac:dyDescent="0.25"/>
    <row r="28" spans="1:7" ht="24" customHeight="1" x14ac:dyDescent="0.25"/>
    <row r="29" spans="1:7" ht="24" customHeight="1" x14ac:dyDescent="0.25"/>
    <row r="30" spans="1:7" ht="24" customHeight="1" x14ac:dyDescent="0.25"/>
  </sheetData>
  <mergeCells count="9">
    <mergeCell ref="A19:A25"/>
    <mergeCell ref="A12:C12"/>
    <mergeCell ref="A18:C18"/>
    <mergeCell ref="A1:D1"/>
    <mergeCell ref="A2:B2"/>
    <mergeCell ref="C2:D2"/>
    <mergeCell ref="A5:C5"/>
    <mergeCell ref="A6:A11"/>
    <mergeCell ref="A13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XGS - Desktop</vt:lpstr>
      <vt:lpstr>XGS - 1U</vt:lpstr>
      <vt:lpstr>XGS - 2U</vt:lpstr>
      <vt:lpstr>Virtual FW</vt:lpstr>
      <vt:lpstr>ZTNA - NDR - Central Reporting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2051120086 - Nguyễn Võ Đình Anh - CN20A</cp:lastModifiedBy>
  <cp:lastPrinted>2025-02-19T05:48:51Z</cp:lastPrinted>
  <dcterms:created xsi:type="dcterms:W3CDTF">2025-02-19T04:47:46Z</dcterms:created>
  <dcterms:modified xsi:type="dcterms:W3CDTF">2026-05-18T04:40:09Z</dcterms:modified>
</cp:coreProperties>
</file>