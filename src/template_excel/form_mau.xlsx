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ADA55E0F-BE96-4756-95CC-F82FF994FE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" sheetId="1" r:id="rId1"/>
    <sheet name="Đơn Hàng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I9" i="2" s="1"/>
  <c r="H8" i="2"/>
  <c r="I8" i="2" s="1"/>
  <c r="H7" i="2"/>
  <c r="I7" i="2" s="1"/>
  <c r="H10" i="2" l="1"/>
  <c r="I10" i="2" s="1"/>
  <c r="H6" i="2"/>
  <c r="I6" i="2" s="1"/>
  <c r="H5" i="2"/>
  <c r="I5" i="2" s="1"/>
  <c r="I11" i="2" l="1"/>
</calcChain>
</file>

<file path=xl/sharedStrings.xml><?xml version="1.0" encoding="utf-8"?>
<sst xmlns="http://schemas.openxmlformats.org/spreadsheetml/2006/main" count="77" uniqueCount="68">
  <si>
    <t>Website</t>
  </si>
  <si>
    <t>Fax</t>
  </si>
  <si>
    <t>III. THÔNG TIN GIAO HÀNG TRIỂN KHAI</t>
  </si>
  <si>
    <t>Giao hàng và hóa đơn ngay khi có hàng</t>
  </si>
  <si>
    <t>Liên hệ Kinh Doanh trước khi giao hàng</t>
  </si>
  <si>
    <t>Giao hàng và có kỹ thuật triển khai dự án</t>
  </si>
  <si>
    <t>Liên hệ giao hàng</t>
  </si>
  <si>
    <t>STT</t>
  </si>
  <si>
    <t>CHI TIẾT MUA HÀNG</t>
  </si>
  <si>
    <t>SL</t>
  </si>
  <si>
    <t>Trạng thái đơn hàng</t>
  </si>
  <si>
    <t>(Phần dành cho kinh doanh/SA điền)</t>
  </si>
  <si>
    <t>Ngày có hàng dự kiến</t>
  </si>
  <si>
    <t>Có</t>
  </si>
  <si>
    <t>Ghi Chú</t>
  </si>
  <si>
    <t>I. THÔNG TIN KHÁCH HÀNG (VUI LÒNG ĐIỀN TIẾNG ANH ĐỂ CẤP LICENSE)</t>
  </si>
  <si>
    <t>Mobile</t>
  </si>
  <si>
    <t>Thanh lý</t>
  </si>
  <si>
    <t>ĐN thanh toán</t>
  </si>
  <si>
    <t>Không</t>
  </si>
  <si>
    <t>II. THÔNG TIN XUẤT HÓA ĐƠN, THANH LÝ &amp; CHỨNG TỪ KHÁC</t>
  </si>
  <si>
    <t>Cung cấp CO</t>
  </si>
  <si>
    <t>Cung cấp CQ</t>
  </si>
  <si>
    <t>Cung cấp CO &amp; CQ</t>
  </si>
  <si>
    <t>IV. THÔNG TIN THANH TOÁN</t>
  </si>
  <si>
    <t>Ngày đặt cọc</t>
  </si>
  <si>
    <t>Tỉ lệ đặt cọc (%)</t>
  </si>
  <si>
    <t>Công nợ (ngày)</t>
  </si>
  <si>
    <t>Mức off</t>
  </si>
  <si>
    <t>Đơn giá</t>
  </si>
  <si>
    <t>Thành tiền</t>
  </si>
  <si>
    <t>List Price (USD)</t>
  </si>
  <si>
    <t>Sophos</t>
  </si>
  <si>
    <t>Kaspersky</t>
  </si>
  <si>
    <t>Khác</t>
  </si>
  <si>
    <t>Start date</t>
  </si>
  <si>
    <t>Base code</t>
  </si>
  <si>
    <t>Tên hàng hóa</t>
  </si>
  <si>
    <t>Ghi chú khác:</t>
  </si>
  <si>
    <t>Số Seri tbị 
(Serial number)</t>
  </si>
  <si>
    <t xml:space="preserve"> License ID</t>
  </si>
  <si>
    <t>Expiration 
Time</t>
  </si>
  <si>
    <t>Nhà cung cấp</t>
  </si>
  <si>
    <t>Mã SKU</t>
  </si>
  <si>
    <r>
      <t xml:space="preserve">Company </t>
    </r>
    <r>
      <rPr>
        <b/>
        <sz val="11"/>
        <color rgb="FFFF0000"/>
        <rFont val="Arial"/>
        <family val="2"/>
      </rPr>
      <t>(*)</t>
    </r>
  </si>
  <si>
    <r>
      <t xml:space="preserve">Address </t>
    </r>
    <r>
      <rPr>
        <b/>
        <sz val="11"/>
        <color rgb="FFFF0000"/>
        <rFont val="Arial"/>
        <family val="2"/>
      </rPr>
      <t>(*)</t>
    </r>
  </si>
  <si>
    <r>
      <t xml:space="preserve">Tel </t>
    </r>
    <r>
      <rPr>
        <b/>
        <sz val="11"/>
        <color rgb="FFFF0000"/>
        <rFont val="Arial"/>
        <family val="2"/>
      </rPr>
      <t>(*)</t>
    </r>
  </si>
  <si>
    <r>
      <t xml:space="preserve">Contact </t>
    </r>
    <r>
      <rPr>
        <b/>
        <sz val="11"/>
        <color rgb="FFFF0000"/>
        <rFont val="Arial"/>
        <family val="2"/>
      </rPr>
      <t>(*)</t>
    </r>
  </si>
  <si>
    <r>
      <t xml:space="preserve">Email </t>
    </r>
    <r>
      <rPr>
        <b/>
        <sz val="11"/>
        <color rgb="FFFF0000"/>
        <rFont val="Arial"/>
        <family val="2"/>
      </rPr>
      <t>(*)</t>
    </r>
  </si>
  <si>
    <r>
      <t xml:space="preserve">Người nhận hàng </t>
    </r>
    <r>
      <rPr>
        <b/>
        <sz val="11"/>
        <color rgb="FFFF0000"/>
        <rFont val="Arial"/>
        <family val="2"/>
      </rPr>
      <t>(*)</t>
    </r>
  </si>
  <si>
    <r>
      <t xml:space="preserve">Địa chỉ </t>
    </r>
    <r>
      <rPr>
        <b/>
        <sz val="11"/>
        <color rgb="FFFF0000"/>
        <rFont val="Arial"/>
        <family val="2"/>
      </rPr>
      <t>(*)</t>
    </r>
  </si>
  <si>
    <r>
      <t xml:space="preserve">Số điện thoại </t>
    </r>
    <r>
      <rPr>
        <sz val="11"/>
        <color rgb="FFFF0000"/>
        <rFont val="Arial"/>
        <family val="2"/>
      </rPr>
      <t>(*)</t>
    </r>
  </si>
  <si>
    <r>
      <t xml:space="preserve">Người liên hệ triển khai </t>
    </r>
    <r>
      <rPr>
        <b/>
        <sz val="11"/>
        <color rgb="FFFF0000"/>
        <rFont val="Arial"/>
        <family val="2"/>
      </rPr>
      <t>(*)</t>
    </r>
  </si>
  <si>
    <r>
      <t xml:space="preserve">Công ty </t>
    </r>
    <r>
      <rPr>
        <b/>
        <sz val="11"/>
        <color rgb="FFFF0000"/>
        <rFont val="Arial"/>
        <family val="2"/>
      </rPr>
      <t>(*)</t>
    </r>
  </si>
  <si>
    <r>
      <t xml:space="preserve">MST </t>
    </r>
    <r>
      <rPr>
        <b/>
        <sz val="11"/>
        <color rgb="FFFF0000"/>
        <rFont val="Arial"/>
        <family val="2"/>
      </rPr>
      <t>(*)</t>
    </r>
  </si>
  <si>
    <r>
      <t xml:space="preserve">CO/CQ </t>
    </r>
    <r>
      <rPr>
        <b/>
        <sz val="11"/>
        <color rgb="FFFF0000"/>
        <rFont val="Arial"/>
        <family val="2"/>
      </rPr>
      <t>(*)</t>
    </r>
  </si>
  <si>
    <t>Trung Bình</t>
  </si>
  <si>
    <r>
      <t xml:space="preserve">PO/HĐ </t>
    </r>
    <r>
      <rPr>
        <b/>
        <sz val="11"/>
        <color rgb="FFFF0000"/>
        <rFont val="Arial"/>
        <family val="2"/>
      </rPr>
      <t>(*)</t>
    </r>
  </si>
  <si>
    <r>
      <t xml:space="preserve">Độ ưu tiên </t>
    </r>
    <r>
      <rPr>
        <b/>
        <sz val="11"/>
        <color rgb="FFFF0000"/>
        <rFont val="Arial"/>
        <family val="2"/>
      </rPr>
      <t>(*)</t>
    </r>
  </si>
  <si>
    <r>
      <rPr>
        <b/>
        <sz val="11"/>
        <color rgb="FFFF0000"/>
        <rFont val="Arial"/>
        <family val="2"/>
      </rPr>
      <t>Ghi chú:</t>
    </r>
    <r>
      <rPr>
        <b/>
        <sz val="11"/>
        <color theme="1"/>
        <rFont val="Arial"/>
        <family val="2"/>
      </rPr>
      <t xml:space="preserve"> Những chỗ có dấu</t>
    </r>
    <r>
      <rPr>
        <b/>
        <sz val="11"/>
        <color rgb="FFFF0000"/>
        <rFont val="Arial"/>
        <family val="2"/>
      </rPr>
      <t xml:space="preserve"> (*)</t>
    </r>
    <r>
      <rPr>
        <b/>
        <sz val="11"/>
        <color theme="1"/>
        <rFont val="Arial"/>
        <family val="2"/>
      </rPr>
      <t xml:space="preserve"> - bắt buột phải điền thông tin.</t>
    </r>
  </si>
  <si>
    <t>Đối với các đơn hàng mua từ những NCC bên ngoài, không phải trong nội bộ NTS Group, chỉ cung cấp thông tin 5 cột đầu tiên, các thông tin khác ACE cung cấp cho BP Mua hàng qua email.</t>
  </si>
  <si>
    <t>Kas</t>
  </si>
  <si>
    <t>tin.ln@hungphu.com</t>
  </si>
  <si>
    <t>CÔNG TY CỔ PHẦN ĐẦU TƯ ĐỊA ỐC HƯNG PHÚ</t>
  </si>
  <si>
    <t>6 Hoa Mai, Phường Cầu Kiệu, TP Hồ Chí Minh, Việt Nam</t>
  </si>
  <si>
    <t>0302415762</t>
  </si>
  <si>
    <t>Bản quyền phần mềm Kaspersky dùng cho máy tính Next
EDR Foundations VNM 50-99 User 1Y RnlPl Lic</t>
  </si>
  <si>
    <t xml:space="preserve">
-Lê Nhật Tin : 0935758194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</si>
</sst>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Arial"/>
      <family val="2"/>
    </font>
    <font>
      <b/>
      <sz val="11"/>
      <color theme="3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i/>
      <sz val="11"/>
      <name val="Arial"/>
      <family val="2"/>
    </font>
    <font>
      <b/>
      <sz val="11"/>
      <color rgb="FF333E4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5" borderId="0" xfId="0" applyFont="1" applyFill="1"/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2" fillId="5" borderId="0" xfId="0" applyFont="1" applyFill="1"/>
    <xf numFmtId="0" fontId="6" fillId="5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left" vertical="center" wrapText="1"/>
    </xf>
    <xf numFmtId="0" fontId="5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4" fillId="5" borderId="1" xfId="2" applyFill="1" applyBorder="1"/>
    <xf numFmtId="49" fontId="7" fillId="5" borderId="2" xfId="1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/>
    </xf>
    <xf numFmtId="14" fontId="1" fillId="5" borderId="1" xfId="0" applyNumberFormat="1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49" fontId="7" fillId="5" borderId="1" xfId="1" quotePrefix="1" applyNumberFormat="1" applyFont="1" applyFill="1" applyBorder="1" applyAlignment="1">
      <alignment horizontal="left" vertical="center" wrapText="1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9" fontId="1" fillId="5" borderId="0" xfId="0" applyNumberFormat="1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11" fillId="3" borderId="8" xfId="0" applyFont="1" applyFill="1" applyBorder="1" applyAlignment="1">
      <alignment horizontal="center" vertical="center" wrapText="1"/>
    </xf>
    <xf numFmtId="9" fontId="1" fillId="0" borderId="1" xfId="4" applyFont="1" applyBorder="1" applyAlignment="1">
      <alignment horizontal="center" vertical="center"/>
    </xf>
    <xf numFmtId="43" fontId="1" fillId="0" borderId="1" xfId="3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6" fillId="5" borderId="11" xfId="1" applyFont="1" applyFill="1" applyBorder="1" applyAlignment="1">
      <alignment horizontal="center" vertical="center"/>
    </xf>
    <xf numFmtId="0" fontId="7" fillId="5" borderId="11" xfId="1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9" fontId="1" fillId="0" borderId="12" xfId="4" applyFont="1" applyBorder="1" applyAlignment="1">
      <alignment horizontal="center" vertical="center"/>
    </xf>
    <xf numFmtId="43" fontId="1" fillId="0" borderId="12" xfId="3" applyFont="1" applyBorder="1" applyAlignment="1">
      <alignment horizontal="center" vertical="center"/>
    </xf>
    <xf numFmtId="43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9" fontId="1" fillId="0" borderId="13" xfId="4" applyFont="1" applyBorder="1" applyAlignment="1">
      <alignment horizontal="center" vertical="center"/>
    </xf>
    <xf numFmtId="43" fontId="1" fillId="0" borderId="13" xfId="3" applyFont="1" applyBorder="1" applyAlignment="1">
      <alignment horizontal="center" vertical="center"/>
    </xf>
    <xf numFmtId="43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9" fontId="1" fillId="0" borderId="14" xfId="4" applyFont="1" applyBorder="1" applyAlignment="1">
      <alignment horizontal="center" vertical="center"/>
    </xf>
    <xf numFmtId="43" fontId="1" fillId="0" borderId="14" xfId="3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9" fontId="1" fillId="0" borderId="15" xfId="4" applyFont="1" applyBorder="1" applyAlignment="1">
      <alignment horizontal="center" vertical="center"/>
    </xf>
    <xf numFmtId="0" fontId="1" fillId="0" borderId="15" xfId="0" applyFont="1" applyBorder="1"/>
    <xf numFmtId="0" fontId="2" fillId="0" borderId="0" xfId="0" applyFont="1"/>
    <xf numFmtId="0" fontId="12" fillId="0" borderId="0" xfId="0" applyFont="1"/>
    <xf numFmtId="0" fontId="4" fillId="0" borderId="1" xfId="2" applyBorder="1"/>
    <xf numFmtId="0" fontId="13" fillId="0" borderId="1" xfId="0" applyFont="1" applyBorder="1"/>
    <xf numFmtId="0" fontId="1" fillId="5" borderId="1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</cellXfs>
  <cellStyles count="5">
    <cellStyle name="Comma" xfId="3" builtinId="3"/>
    <cellStyle name="Hyperlink" xfId="2" builtinId="8"/>
    <cellStyle name="Normal" xfId="0" builtinId="0"/>
    <cellStyle name="Normal 2" xfId="1" xr:uid="{00000000-0005-0000-0000-000003000000}"/>
    <cellStyle name="Percent" xfId="4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in.ln@hungph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zoomScale="85" zoomScaleNormal="85" workbookViewId="0">
      <selection activeCell="K14" sqref="K14"/>
    </sheetView>
  </sheetViews>
  <sheetFormatPr defaultColWidth="9.109375" defaultRowHeight="13.8" x14ac:dyDescent="0.25"/>
  <cols>
    <col min="1" max="1" width="10.33203125" style="1" customWidth="1"/>
    <col min="2" max="2" width="19.44140625" style="1" customWidth="1"/>
    <col min="3" max="3" width="58.109375" style="1" customWidth="1"/>
    <col min="4" max="4" width="6.109375" style="1" customWidth="1"/>
    <col min="5" max="5" width="32" style="1" customWidth="1"/>
    <col min="6" max="6" width="57.88671875" style="1" customWidth="1"/>
    <col min="7" max="16384" width="9.109375" style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ht="22.5" customHeight="1" x14ac:dyDescent="0.25">
      <c r="A2" s="9" t="s">
        <v>57</v>
      </c>
      <c r="B2" s="9">
        <v>247</v>
      </c>
      <c r="C2" s="10" t="s">
        <v>61</v>
      </c>
      <c r="D2" s="8"/>
      <c r="E2" s="9" t="s">
        <v>10</v>
      </c>
      <c r="F2" s="4"/>
      <c r="G2" s="8"/>
    </row>
    <row r="3" spans="1:7" ht="22.5" customHeight="1" x14ac:dyDescent="0.25">
      <c r="A3" s="11"/>
      <c r="B3" s="9" t="s">
        <v>58</v>
      </c>
      <c r="C3" s="9" t="s">
        <v>56</v>
      </c>
      <c r="D3" s="8"/>
      <c r="E3" s="11"/>
      <c r="F3" s="12"/>
      <c r="G3" s="8"/>
    </row>
    <row r="4" spans="1:7" ht="30" customHeight="1" x14ac:dyDescent="0.25">
      <c r="A4" s="13" t="s">
        <v>15</v>
      </c>
      <c r="B4" s="8"/>
      <c r="C4" s="8"/>
      <c r="D4" s="8"/>
      <c r="E4" s="13" t="s">
        <v>2</v>
      </c>
      <c r="F4" s="8"/>
      <c r="G4" s="8"/>
    </row>
    <row r="5" spans="1:7" ht="21" customHeight="1" x14ac:dyDescent="0.25">
      <c r="A5" s="8"/>
      <c r="B5" s="14" t="s">
        <v>44</v>
      </c>
      <c r="C5" s="15"/>
      <c r="D5" s="8"/>
      <c r="E5" s="16" t="s">
        <v>13</v>
      </c>
      <c r="F5" s="17" t="s">
        <v>3</v>
      </c>
      <c r="G5" s="8"/>
    </row>
    <row r="6" spans="1:7" ht="21" customHeight="1" x14ac:dyDescent="0.25">
      <c r="A6" s="8"/>
      <c r="B6" s="14" t="s">
        <v>45</v>
      </c>
      <c r="C6" s="18"/>
      <c r="D6" s="8"/>
      <c r="E6" s="16" t="s">
        <v>13</v>
      </c>
      <c r="F6" s="17" t="s">
        <v>5</v>
      </c>
      <c r="G6" s="8"/>
    </row>
    <row r="7" spans="1:7" ht="20.25" customHeight="1" x14ac:dyDescent="0.25">
      <c r="A7" s="8"/>
      <c r="B7" s="14" t="s">
        <v>46</v>
      </c>
      <c r="C7" s="18"/>
      <c r="D7" s="8"/>
      <c r="E7" s="16" t="s">
        <v>13</v>
      </c>
      <c r="F7" s="17" t="s">
        <v>4</v>
      </c>
      <c r="G7" s="8"/>
    </row>
    <row r="8" spans="1:7" x14ac:dyDescent="0.25">
      <c r="A8" s="8"/>
      <c r="B8" s="14" t="s">
        <v>1</v>
      </c>
      <c r="C8" s="18"/>
      <c r="D8" s="8"/>
      <c r="E8" s="19" t="s">
        <v>6</v>
      </c>
      <c r="F8" s="8"/>
      <c r="G8" s="8"/>
    </row>
    <row r="9" spans="1:7" ht="27.6" x14ac:dyDescent="0.25">
      <c r="A9" s="8"/>
      <c r="B9" s="14" t="s">
        <v>47</v>
      </c>
      <c r="C9" s="18"/>
      <c r="D9" s="8"/>
      <c r="E9" s="17" t="s">
        <v>49</v>
      </c>
      <c r="F9" s="70" t="s">
        <v>67</v>
      </c>
      <c r="G9" s="8"/>
    </row>
    <row r="10" spans="1:7" ht="21" customHeight="1" x14ac:dyDescent="0.3">
      <c r="A10" s="8"/>
      <c r="B10" s="14" t="s">
        <v>48</v>
      </c>
      <c r="C10" s="21"/>
      <c r="D10" s="8"/>
      <c r="E10" s="17" t="s">
        <v>50</v>
      </c>
      <c r="F10" s="15" t="s">
        <v>64</v>
      </c>
      <c r="G10" s="8"/>
    </row>
    <row r="11" spans="1:7" ht="21" customHeight="1" x14ac:dyDescent="0.25">
      <c r="A11" s="8"/>
      <c r="B11" s="14" t="s">
        <v>16</v>
      </c>
      <c r="C11" s="22"/>
      <c r="D11" s="8"/>
      <c r="E11" s="17" t="s">
        <v>51</v>
      </c>
      <c r="F11" s="23"/>
      <c r="G11" s="8"/>
    </row>
    <row r="12" spans="1:7" ht="21" customHeight="1" x14ac:dyDescent="0.25">
      <c r="A12" s="8"/>
      <c r="B12" s="14" t="s">
        <v>0</v>
      </c>
      <c r="C12" s="15"/>
      <c r="D12" s="8"/>
      <c r="E12" s="17" t="s">
        <v>52</v>
      </c>
      <c r="F12" s="20"/>
      <c r="G12" s="8"/>
    </row>
    <row r="13" spans="1:7" ht="21" customHeight="1" x14ac:dyDescent="0.25">
      <c r="A13" s="8"/>
      <c r="B13" s="43"/>
      <c r="C13" s="44"/>
      <c r="D13" s="8"/>
      <c r="E13" s="28"/>
      <c r="F13" s="29"/>
      <c r="G13" s="8"/>
    </row>
    <row r="14" spans="1:7" ht="21.75" customHeight="1" x14ac:dyDescent="0.25">
      <c r="A14" s="13" t="s">
        <v>20</v>
      </c>
      <c r="B14" s="8"/>
      <c r="C14" s="8"/>
      <c r="D14" s="8"/>
      <c r="E14" s="13" t="s">
        <v>24</v>
      </c>
      <c r="F14" s="8"/>
      <c r="G14" s="8"/>
    </row>
    <row r="15" spans="1:7" ht="20.25" customHeight="1" x14ac:dyDescent="0.25">
      <c r="A15" s="8"/>
      <c r="B15" s="14" t="s">
        <v>53</v>
      </c>
      <c r="C15" s="69" t="s">
        <v>63</v>
      </c>
      <c r="D15" s="8"/>
      <c r="E15" s="17" t="s">
        <v>25</v>
      </c>
      <c r="F15" s="24"/>
      <c r="G15" s="8"/>
    </row>
    <row r="16" spans="1:7" ht="20.25" customHeight="1" x14ac:dyDescent="0.25">
      <c r="A16" s="8"/>
      <c r="B16" s="14" t="s">
        <v>50</v>
      </c>
      <c r="C16" s="15" t="s">
        <v>64</v>
      </c>
      <c r="D16" s="8"/>
      <c r="E16" s="17" t="s">
        <v>26</v>
      </c>
      <c r="F16" s="25">
        <v>0</v>
      </c>
      <c r="G16" s="8"/>
    </row>
    <row r="17" spans="1:7" ht="20.25" customHeight="1" x14ac:dyDescent="0.25">
      <c r="A17" s="8"/>
      <c r="B17" s="14" t="s">
        <v>54</v>
      </c>
      <c r="C17" s="26" t="s">
        <v>65</v>
      </c>
      <c r="D17" s="8"/>
      <c r="E17" s="17" t="s">
        <v>27</v>
      </c>
      <c r="F17" s="16">
        <v>0</v>
      </c>
      <c r="G17" s="8"/>
    </row>
    <row r="18" spans="1:7" ht="20.25" customHeight="1" x14ac:dyDescent="0.3">
      <c r="A18" s="8"/>
      <c r="B18" s="14" t="s">
        <v>48</v>
      </c>
      <c r="C18" s="68" t="s">
        <v>62</v>
      </c>
      <c r="D18" s="8"/>
      <c r="E18" s="17" t="s">
        <v>12</v>
      </c>
      <c r="F18" s="31"/>
      <c r="G18" s="8"/>
    </row>
    <row r="19" spans="1:7" ht="23.25" customHeight="1" x14ac:dyDescent="0.3">
      <c r="A19" s="27"/>
      <c r="B19" s="14" t="s">
        <v>17</v>
      </c>
      <c r="C19" s="30"/>
      <c r="D19" s="8"/>
      <c r="E19" s="28"/>
      <c r="F19" s="32"/>
      <c r="G19" s="8"/>
    </row>
    <row r="20" spans="1:7" ht="20.25" customHeight="1" x14ac:dyDescent="0.3">
      <c r="B20" s="14" t="s">
        <v>18</v>
      </c>
      <c r="C20" s="30"/>
      <c r="E20" s="28"/>
      <c r="F20" s="33"/>
    </row>
    <row r="21" spans="1:7" ht="20.25" customHeight="1" x14ac:dyDescent="0.3">
      <c r="B21" s="14" t="s">
        <v>55</v>
      </c>
      <c r="C21" s="30" t="s">
        <v>23</v>
      </c>
      <c r="E21" s="28"/>
      <c r="F21" s="33"/>
    </row>
    <row r="22" spans="1:7" ht="20.25" customHeight="1" x14ac:dyDescent="0.25"/>
    <row r="23" spans="1:7" x14ac:dyDescent="0.25">
      <c r="A23" s="66" t="s">
        <v>59</v>
      </c>
    </row>
  </sheetData>
  <conditionalFormatting sqref="C3">
    <cfRule type="cellIs" dxfId="1" priority="1" operator="equal">
      <formula>"Gấp"</formula>
    </cfRule>
  </conditionalFormatting>
  <conditionalFormatting sqref="E5:E7">
    <cfRule type="cellIs" dxfId="0" priority="2" operator="equal">
      <formula>"Có"</formula>
    </cfRule>
  </conditionalFormatting>
  <dataValidations count="3">
    <dataValidation type="list" allowBlank="1" showInputMessage="1" showErrorMessage="1" sqref="E5:E7" xr:uid="{00000000-0002-0000-0000-000000000000}">
      <formula1>"Không, Có"</formula1>
    </dataValidation>
    <dataValidation type="list" allowBlank="1" showInputMessage="1" showErrorMessage="1" sqref="F2" xr:uid="{00000000-0002-0000-0000-000001000000}">
      <formula1>"Đã Đặt Cọc, Đã Đặt Hàng, Đã Giao Hàng, Đã Triển khai, Đã xuất hóa đơn, Đã Hoàn Thành"</formula1>
    </dataValidation>
    <dataValidation type="list" allowBlank="1" showInputMessage="1" showErrorMessage="1" sqref="C3" xr:uid="{00000000-0002-0000-0000-000002000000}">
      <formula1>"Gấp, Trung Bình, Thấp"</formula1>
    </dataValidation>
  </dataValidations>
  <hyperlinks>
    <hyperlink ref="C18" r:id="rId1" xr:uid="{15182D30-578C-4F5B-9E43-26E4516DD3B8}"/>
  </hyperlinks>
  <pageMargins left="0.7" right="0.7" top="0.75" bottom="0.75" header="0.3" footer="0.3"/>
  <pageSetup orientation="portrait" horizontalDpi="300" verticalDpi="4294967295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sheet1!$C$3:$C$6</xm:f>
          </x14:formula1>
          <xm:sqref>C21</xm:sqref>
        </x14:dataValidation>
        <x14:dataValidation type="list" allowBlank="1" showInputMessage="1" showErrorMessage="1" xr:uid="{00000000-0002-0000-0000-000004000000}">
          <x14:formula1>
            <xm:f>sheet1!A$3:A$4</xm:f>
          </x14:formula1>
          <xm:sqref>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4"/>
  <sheetViews>
    <sheetView zoomScaleNormal="100" zoomScaleSheetLayoutView="115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B5" sqref="B5"/>
    </sheetView>
  </sheetViews>
  <sheetFormatPr defaultColWidth="9.109375" defaultRowHeight="13.8" x14ac:dyDescent="0.25"/>
  <cols>
    <col min="1" max="1" width="7" style="1" customWidth="1"/>
    <col min="2" max="2" width="15.6640625" style="1" customWidth="1"/>
    <col min="3" max="3" width="61.109375" style="1" customWidth="1"/>
    <col min="4" max="4" width="28.44140625" style="1" customWidth="1"/>
    <col min="5" max="5" width="7.5546875" style="1" customWidth="1"/>
    <col min="6" max="6" width="12.44140625" style="1" customWidth="1"/>
    <col min="7" max="7" width="12.6640625" style="1" customWidth="1"/>
    <col min="8" max="8" width="11.44140625" style="1" customWidth="1"/>
    <col min="9" max="10" width="14.44140625" style="1" customWidth="1"/>
    <col min="11" max="11" width="17.109375" style="1" customWidth="1"/>
    <col min="12" max="14" width="14.44140625" style="1" customWidth="1"/>
    <col min="15" max="15" width="16.5546875" style="1" customWidth="1"/>
    <col min="16" max="16" width="13.44140625" style="1" customWidth="1"/>
    <col min="17" max="16384" width="9.109375" style="1"/>
  </cols>
  <sheetData>
    <row r="2" spans="1:16" ht="14.4" thickBot="1" x14ac:dyDescent="0.3">
      <c r="A2" s="73" t="s">
        <v>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6" ht="15.75" customHeight="1" thickBot="1" x14ac:dyDescent="0.35">
      <c r="A3" s="36" t="s">
        <v>11</v>
      </c>
      <c r="B3" s="37"/>
      <c r="C3" s="37"/>
      <c r="D3" s="37"/>
      <c r="E3" s="37"/>
      <c r="F3" s="37"/>
      <c r="G3" s="37"/>
      <c r="H3" s="37"/>
      <c r="I3" s="37"/>
      <c r="J3" s="74" t="s">
        <v>32</v>
      </c>
      <c r="K3" s="75"/>
      <c r="L3" s="76"/>
      <c r="M3" s="77" t="s">
        <v>33</v>
      </c>
      <c r="N3" s="78"/>
      <c r="O3" s="38" t="s">
        <v>34</v>
      </c>
      <c r="P3" s="71" t="s">
        <v>14</v>
      </c>
    </row>
    <row r="4" spans="1:16" ht="36.75" customHeight="1" x14ac:dyDescent="0.25">
      <c r="A4" s="5" t="s">
        <v>7</v>
      </c>
      <c r="B4" s="5" t="s">
        <v>43</v>
      </c>
      <c r="C4" s="5" t="s">
        <v>37</v>
      </c>
      <c r="D4" s="5" t="s">
        <v>42</v>
      </c>
      <c r="E4" s="5" t="s">
        <v>9</v>
      </c>
      <c r="F4" s="35" t="s">
        <v>31</v>
      </c>
      <c r="G4" s="34" t="s">
        <v>28</v>
      </c>
      <c r="H4" s="34" t="s">
        <v>29</v>
      </c>
      <c r="I4" s="34" t="s">
        <v>30</v>
      </c>
      <c r="J4" s="6" t="s">
        <v>35</v>
      </c>
      <c r="K4" s="6" t="s">
        <v>39</v>
      </c>
      <c r="L4" s="6" t="s">
        <v>40</v>
      </c>
      <c r="M4" s="34" t="s">
        <v>36</v>
      </c>
      <c r="N4" s="35" t="s">
        <v>41</v>
      </c>
      <c r="O4" s="6" t="s">
        <v>35</v>
      </c>
      <c r="P4" s="72"/>
    </row>
    <row r="5" spans="1:16" ht="27.6" x14ac:dyDescent="0.25">
      <c r="A5" s="45">
        <v>1</v>
      </c>
      <c r="B5" s="45"/>
      <c r="C5" s="46" t="s">
        <v>66</v>
      </c>
      <c r="D5" s="46"/>
      <c r="E5" s="45">
        <v>65</v>
      </c>
      <c r="F5" s="45"/>
      <c r="G5" s="47"/>
      <c r="H5" s="48">
        <f>ROUND(F5*(1-G5),2)</f>
        <v>0</v>
      </c>
      <c r="I5" s="49">
        <f>E5*H5</f>
        <v>0</v>
      </c>
      <c r="J5" s="45"/>
      <c r="K5" s="45"/>
      <c r="L5" s="45"/>
      <c r="M5" s="45"/>
      <c r="N5" s="45"/>
      <c r="O5" s="45"/>
      <c r="P5" s="50"/>
    </row>
    <row r="6" spans="1:16" x14ac:dyDescent="0.25">
      <c r="A6" s="51">
        <v>2</v>
      </c>
      <c r="B6" s="51"/>
      <c r="C6" s="52"/>
      <c r="D6" s="52"/>
      <c r="E6" s="51"/>
      <c r="F6" s="51"/>
      <c r="G6" s="53"/>
      <c r="H6" s="54">
        <f t="shared" ref="H6:H10" si="0">ROUND(F6*(1-G6),2)</f>
        <v>0</v>
      </c>
      <c r="I6" s="55">
        <f t="shared" ref="I6:I10" si="1">E6*H6</f>
        <v>0</v>
      </c>
      <c r="J6" s="51"/>
      <c r="K6" s="51"/>
      <c r="L6" s="51"/>
      <c r="M6" s="51"/>
      <c r="N6" s="51"/>
      <c r="O6" s="51"/>
      <c r="P6" s="56"/>
    </row>
    <row r="7" spans="1:16" x14ac:dyDescent="0.25">
      <c r="A7" s="51">
        <v>3</v>
      </c>
      <c r="B7" s="62"/>
      <c r="C7" s="63"/>
      <c r="D7" s="63"/>
      <c r="E7" s="62"/>
      <c r="F7" s="62"/>
      <c r="G7" s="64"/>
      <c r="H7" s="54">
        <f t="shared" si="0"/>
        <v>0</v>
      </c>
      <c r="I7" s="55">
        <f t="shared" si="1"/>
        <v>0</v>
      </c>
      <c r="J7" s="62"/>
      <c r="K7" s="62"/>
      <c r="L7" s="62"/>
      <c r="M7" s="62"/>
      <c r="N7" s="62"/>
      <c r="O7" s="62"/>
      <c r="P7" s="65"/>
    </row>
    <row r="8" spans="1:16" x14ac:dyDescent="0.25">
      <c r="A8" s="51">
        <v>4</v>
      </c>
      <c r="B8" s="62"/>
      <c r="C8" s="63"/>
      <c r="D8" s="63"/>
      <c r="E8" s="62"/>
      <c r="F8" s="62"/>
      <c r="G8" s="64"/>
      <c r="H8" s="54">
        <f t="shared" si="0"/>
        <v>0</v>
      </c>
      <c r="I8" s="55">
        <f t="shared" si="1"/>
        <v>0</v>
      </c>
      <c r="J8" s="62"/>
      <c r="K8" s="62"/>
      <c r="L8" s="62"/>
      <c r="M8" s="62"/>
      <c r="N8" s="62"/>
      <c r="O8" s="62"/>
      <c r="P8" s="65"/>
    </row>
    <row r="9" spans="1:16" x14ac:dyDescent="0.25">
      <c r="A9" s="51">
        <v>5</v>
      </c>
      <c r="B9" s="62"/>
      <c r="C9" s="63"/>
      <c r="D9" s="63"/>
      <c r="E9" s="62"/>
      <c r="F9" s="62"/>
      <c r="G9" s="64"/>
      <c r="H9" s="54">
        <f t="shared" si="0"/>
        <v>0</v>
      </c>
      <c r="I9" s="55">
        <f t="shared" si="1"/>
        <v>0</v>
      </c>
      <c r="J9" s="62"/>
      <c r="K9" s="62"/>
      <c r="L9" s="62"/>
      <c r="M9" s="62"/>
      <c r="N9" s="62"/>
      <c r="O9" s="62"/>
      <c r="P9" s="65"/>
    </row>
    <row r="10" spans="1:16" x14ac:dyDescent="0.25">
      <c r="A10" s="57"/>
      <c r="B10" s="57"/>
      <c r="C10" s="58"/>
      <c r="D10" s="58"/>
      <c r="E10" s="57"/>
      <c r="F10" s="57"/>
      <c r="G10" s="59"/>
      <c r="H10" s="60">
        <f t="shared" si="0"/>
        <v>0</v>
      </c>
      <c r="I10" s="55">
        <f t="shared" si="1"/>
        <v>0</v>
      </c>
      <c r="J10" s="57"/>
      <c r="K10" s="57"/>
      <c r="L10" s="57"/>
      <c r="M10" s="57"/>
      <c r="N10" s="57"/>
      <c r="O10" s="57"/>
      <c r="P10" s="61"/>
    </row>
    <row r="11" spans="1:16" x14ac:dyDescent="0.25">
      <c r="A11" s="3"/>
      <c r="B11" s="3"/>
      <c r="C11" s="7"/>
      <c r="D11" s="7"/>
      <c r="E11" s="3"/>
      <c r="F11" s="3"/>
      <c r="G11" s="39"/>
      <c r="H11" s="40"/>
      <c r="I11" s="41">
        <f>SUM(I5:I10)</f>
        <v>0</v>
      </c>
      <c r="J11" s="3"/>
      <c r="K11" s="3"/>
      <c r="L11" s="3"/>
      <c r="M11" s="3"/>
      <c r="N11" s="3"/>
      <c r="O11" s="3"/>
      <c r="P11" s="2"/>
    </row>
    <row r="13" spans="1:16" ht="21.75" customHeight="1" x14ac:dyDescent="0.25">
      <c r="A13" s="42" t="s">
        <v>38</v>
      </c>
    </row>
    <row r="14" spans="1:16" ht="21.75" customHeight="1" x14ac:dyDescent="0.3">
      <c r="A14" s="67" t="s">
        <v>60</v>
      </c>
    </row>
  </sheetData>
  <mergeCells count="4">
    <mergeCell ref="P3:P4"/>
    <mergeCell ref="A2:O2"/>
    <mergeCell ref="J3:L3"/>
    <mergeCell ref="M3:N3"/>
  </mergeCells>
  <pageMargins left="0.7" right="0.7" top="0.75" bottom="0.75" header="0.3" footer="0.3"/>
  <pageSetup orientation="portrait" horizontalDpi="300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6"/>
  <sheetViews>
    <sheetView workbookViewId="0">
      <selection activeCell="N9" sqref="N9"/>
    </sheetView>
  </sheetViews>
  <sheetFormatPr defaultRowHeight="14.4" x14ac:dyDescent="0.3"/>
  <sheetData>
    <row r="3" spans="1:3" x14ac:dyDescent="0.3">
      <c r="A3" s="1" t="s">
        <v>13</v>
      </c>
      <c r="C3" t="s">
        <v>21</v>
      </c>
    </row>
    <row r="4" spans="1:3" x14ac:dyDescent="0.3">
      <c r="A4" s="1" t="s">
        <v>19</v>
      </c>
      <c r="C4" t="s">
        <v>22</v>
      </c>
    </row>
    <row r="5" spans="1:3" x14ac:dyDescent="0.3">
      <c r="A5" s="1"/>
      <c r="C5" t="s">
        <v>23</v>
      </c>
    </row>
    <row r="6" spans="1:3" x14ac:dyDescent="0.3"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</vt:lpstr>
      <vt:lpstr>Đơn Hàng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2026-04-30T15:07:25Z</dcterms:modified>
</cp:coreProperties>
</file>