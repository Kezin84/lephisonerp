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chuSonProject\reminder-main\reminder-main\src\template_excel\"/>
    </mc:Choice>
  </mc:AlternateContent>
  <xr:revisionPtr revIDLastSave="0" documentId="13_ncr:1_{05316D59-E87F-45B4-B9C9-1CF3142767B5}" xr6:coauthVersionLast="47" xr6:coauthVersionMax="47" xr10:uidLastSave="{00000000-0000-0000-0000-000000000000}"/>
  <bookViews>
    <workbookView xWindow="28680" yWindow="-900" windowWidth="29040" windowHeight="15720" tabRatio="907" xr2:uid="{00000000-000D-0000-FFFF-FFFF00000000}"/>
  </bookViews>
  <sheets>
    <sheet name="Pipeline 2024" sheetId="2" r:id="rId1"/>
  </sheets>
  <externalReferences>
    <externalReference r:id="rId2"/>
  </externalReferences>
  <definedNames>
    <definedName name="_CEMS">#REF!</definedName>
    <definedName name="_Fill" hidden="1">#REF!</definedName>
    <definedName name="_list_retention">#REF!</definedName>
    <definedName name="_list_serviceTiers">#REF!</definedName>
    <definedName name="_list_Term">#REF!</definedName>
    <definedName name="_list_YesNo">#REF!</definedName>
    <definedName name="_MDR_SKU_format_sc1">#REF!</definedName>
    <definedName name="_MDR_SKU_format_sc2">#REF!</definedName>
    <definedName name="_MDR_SKU_Sector_12">#REF!</definedName>
    <definedName name="_MDR_SKU_TransactionType_11">#REF!</definedName>
    <definedName name="_MDR_THREATA">#REF!</definedName>
    <definedName name="_SFSW_Box">#REF!</definedName>
    <definedName name="_SFv_16C24">#REF!</definedName>
    <definedName name="_SFv_1C2">#REF!</definedName>
    <definedName name="_SFv_2C4">#REF!</definedName>
    <definedName name="_SFv_4C6">#REF!</definedName>
    <definedName name="_SFv_6C8">#REF!</definedName>
    <definedName name="_SFv_8C16">#REF!</definedName>
    <definedName name="_SFv_UNL">#REF!</definedName>
    <definedName name="_SVRCIXACNS">#REF!</definedName>
    <definedName name="_var_NumberOfServers">#REF!</definedName>
    <definedName name="_var_NumberOfUsers">#REF!</definedName>
    <definedName name="_var_sc1_CLDIP">#REF!</definedName>
    <definedName name="_var_sc1_dataretention">#REF!</definedName>
    <definedName name="_var_sc1_EMIP">#REF!</definedName>
    <definedName name="_var_sc1_EPIP">#REF!</definedName>
    <definedName name="_var_sc1_FWIP">#REF!</definedName>
    <definedName name="_var_sc1_IDIP">#REF!</definedName>
    <definedName name="_var_sc1_NDR">#REF!</definedName>
    <definedName name="_var_sc1_NWIP">#REF!</definedName>
    <definedName name="_var_sc1_onboardingPackage">#REF!</definedName>
    <definedName name="_var_sc1_serviceTier">#REF!</definedName>
    <definedName name="_var_sc1_term">#REF!</definedName>
    <definedName name="_var_sc2_CLDIP">#REF!</definedName>
    <definedName name="_var_sc2_dataretention">#REF!</definedName>
    <definedName name="_var_sc2_EMIP">#REF!</definedName>
    <definedName name="_var_sc2_EPIP">#REF!</definedName>
    <definedName name="_var_sc2_FWIP">#REF!</definedName>
    <definedName name="_var_sc2_IDIP">#REF!</definedName>
    <definedName name="_var_sc2_NDR">#REF!</definedName>
    <definedName name="_var_sc2_NWIP">#REF!</definedName>
    <definedName name="_var_sc2_onboardingPackage">#REF!</definedName>
    <definedName name="_var_sc2_serviceTier">#REF!</definedName>
    <definedName name="_var_sc2_term">#REF!</definedName>
    <definedName name="_vb_SERVERS">#REF!</definedName>
    <definedName name="_vb_USERS">#REF!</definedName>
    <definedName name="_vb_USERS_SERVERS">#REF!</definedName>
    <definedName name="_XG_106">#REF!</definedName>
    <definedName name="_XG_115">#REF!</definedName>
    <definedName name="_XG_125">#REF!</definedName>
    <definedName name="_XG_135">#REF!</definedName>
    <definedName name="_XG_210">#REF!</definedName>
    <definedName name="_XG_230">#REF!</definedName>
    <definedName name="_XG_310">#REF!</definedName>
    <definedName name="_XG_330">#REF!</definedName>
    <definedName name="_XG_430">#REF!</definedName>
    <definedName name="_XG_450">#REF!</definedName>
    <definedName name="_XG_550">#REF!</definedName>
    <definedName name="_XG_650">#REF!</definedName>
    <definedName name="_XG_750">#REF!</definedName>
    <definedName name="_XG_86">#REF!</definedName>
    <definedName name="_XG_Box">#REF!</definedName>
    <definedName name="_XGS_107">#REF!</definedName>
    <definedName name="_XGS_116">#REF!</definedName>
    <definedName name="_XGS_126">#REF!</definedName>
    <definedName name="_XGS_136">#REF!</definedName>
    <definedName name="_XGS_2100">#REF!</definedName>
    <definedName name="_XGS_2300">#REF!</definedName>
    <definedName name="_XGS_3100">#REF!</definedName>
    <definedName name="_XGS_3300">#REF!</definedName>
    <definedName name="_XGS_4300">#REF!</definedName>
    <definedName name="_XGS_4500">#REF!</definedName>
    <definedName name="_XGS_5500">#REF!</definedName>
    <definedName name="_XGS_6500">#REF!</definedName>
    <definedName name="_XGS_7500">#REF!</definedName>
    <definedName name="_XGS_8500">#REF!</definedName>
    <definedName name="CAM">#REF!</definedName>
    <definedName name="COTHH">[1]HANGHOA!$B$1:$U$1</definedName>
    <definedName name="cv">#REF!</definedName>
    <definedName name="DAT">#REF!</definedName>
    <definedName name="data">#REF!</definedName>
    <definedName name="dd1x2">#REF!</definedName>
    <definedName name="dropdown_list">#REF!</definedName>
    <definedName name="Excel_BuiltIn_Print_Area_1">#REF!</definedName>
    <definedName name="GIABAN">#REF!</definedName>
    <definedName name="hdr_ResellerMargin">#REF!</definedName>
    <definedName name="HH">[1]HANGHOA!$B$1:$U$271</definedName>
    <definedName name="HW_APX_1">#REF!</definedName>
    <definedName name="HW_APX_2">#REF!</definedName>
    <definedName name="HW_RED_1">#REF!</definedName>
    <definedName name="HW_RED_2">#REF!</definedName>
    <definedName name="HW_RED_3">#REF!</definedName>
    <definedName name="HW_RED_4">#REF!</definedName>
    <definedName name="HW_RED_5">#REF!</definedName>
    <definedName name="HW_SG_1">#REF!</definedName>
    <definedName name="HW_SG_2">#REF!</definedName>
    <definedName name="HW_SG_3">#REF!</definedName>
    <definedName name="hw_SPP_cat1">#REF!</definedName>
    <definedName name="hw_SPP_cat2">#REF!</definedName>
    <definedName name="hw_SPP_cat3">#REF!</definedName>
    <definedName name="hw_SPP_cat4">#REF!</definedName>
    <definedName name="HW_TP_1">#REF!</definedName>
    <definedName name="HW_TP_2">#REF!</definedName>
    <definedName name="HW_TP_3">#REF!</definedName>
    <definedName name="HW_TP_4">#REF!</definedName>
    <definedName name="HW_TPR3_1">#REF!</definedName>
    <definedName name="HW_TPR3_2">#REF!</definedName>
    <definedName name="HW_TPR3_3">#REF!</definedName>
    <definedName name="HW_TPR3_4">#REF!</definedName>
    <definedName name="HW_XG_1">#REF!</definedName>
    <definedName name="HW_XGR3_1">#REF!</definedName>
    <definedName name="HW_XGR3_2">#REF!</definedName>
    <definedName name="HW_XGR3_3">#REF!</definedName>
    <definedName name="HW_XGR3_4">#REF!</definedName>
    <definedName name="list_EndSectors">#REF!</definedName>
    <definedName name="list_UTMSGSectors">#REF!</definedName>
    <definedName name="list_XGSectors">#REF!</definedName>
    <definedName name="MAHH">[1]HANGHOA!$B$1:$B$90</definedName>
    <definedName name="mnu_DealType">#REF!</definedName>
    <definedName name="mnu_PartnerLevel">#REF!</definedName>
    <definedName name="NHACUNGCAP">#REF!</definedName>
    <definedName name="nuoc">#REF!</definedName>
    <definedName name="Precision_Selected">#REF!</definedName>
    <definedName name="Region_Selected">#REF!</definedName>
    <definedName name="SFSWV_LIST">#REF!</definedName>
    <definedName name="slct_PartnerLevel">#REF!</definedName>
    <definedName name="Sophos_Firewall">#REF!</definedName>
    <definedName name="tbl_ResellerMargin">#REF!</definedName>
    <definedName name="thietbi">#REF!</definedName>
    <definedName name="TPTPP">#REF!</definedName>
    <definedName name="val_alt_ctrlub1">#REF!</definedName>
    <definedName name="val_altctrlubunl">#REF!</definedName>
    <definedName name="val_ctrlsrvub_1">#REF!</definedName>
    <definedName name="val_ctrlsrvub_2">#REF!</definedName>
    <definedName name="val_ctrlsrvub_3">#REF!</definedName>
    <definedName name="val_ctrlsrvub_4">#REF!</definedName>
    <definedName name="val_ctrlsrvub_5">#REF!</definedName>
    <definedName name="val_ctrlsrvub_6">#REF!</definedName>
    <definedName name="val_ctrlsrvub_7">#REF!</definedName>
    <definedName name="val_ctrlsrvub_8">#REF!</definedName>
    <definedName name="val_ctrlub1">#REF!</definedName>
    <definedName name="val_ctrlub2">#REF!</definedName>
    <definedName name="val_ctrlub3">#REF!</definedName>
    <definedName name="val_ctrlub4">#REF!</definedName>
    <definedName name="val_ctrlub5">#REF!</definedName>
    <definedName name="val_ctrlub6">#REF!</definedName>
    <definedName name="val_ctrlub7">#REF!</definedName>
    <definedName name="val_ctrlub8">#REF!</definedName>
    <definedName name="val_ctrlub9">#REF!</definedName>
    <definedName name="val_ctrlubunl">#REF!</definedName>
    <definedName name="val_srvub_8">#REF!</definedName>
    <definedName name="XG86w">#REF!</definedName>
    <definedName name="XGS_Bundles">#REF!</definedName>
    <definedName name="XGS_HW1">#REF!</definedName>
    <definedName name="XGS_HW2">#REF!</definedName>
    <definedName name="XGS_HW3">#REF!</definedName>
    <definedName name="XGS_HW4">#REF!</definedName>
    <definedName name="XGS_HW5">#REF!</definedName>
    <definedName name="XGSAP_HW1">#REF!</definedName>
    <definedName name="XGSAP_HW2">#REF!</definedName>
    <definedName name="XGSAP_HW3">#REF!</definedName>
    <definedName name="XGSAP_HW4">#REF!</definedName>
    <definedName name="XGSAP_HW5">#REF!</definedName>
    <definedName name="xm">#REF!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2" l="1"/>
  <c r="F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BUI LONG HOA</author>
  </authors>
  <commentList>
    <comment ref="D12" authorId="0" shapeId="0" xr:uid="{00000000-0006-0000-0000-000001000000}">
      <text>
        <r>
          <rPr>
            <b/>
            <sz val="9"/>
            <color indexed="81"/>
            <rFont val="Tahoma"/>
            <family val="2"/>
          </rPr>
          <t>BUI LONG HOA:</t>
        </r>
        <r>
          <rPr>
            <sz val="9"/>
            <color indexed="81"/>
            <rFont val="Tahoma"/>
            <family val="2"/>
          </rPr>
          <t xml:space="preserve">
Tên SP</t>
        </r>
      </text>
    </comment>
    <comment ref="G12" authorId="0" shapeId="0" xr:uid="{00000000-0006-0000-0000-000002000000}">
      <text>
        <r>
          <rPr>
            <b/>
            <sz val="9"/>
            <color indexed="81"/>
            <rFont val="Tahoma"/>
            <family val="2"/>
          </rPr>
          <t>BUI LONG HOA:</t>
        </r>
        <r>
          <rPr>
            <sz val="9"/>
            <color indexed="81"/>
            <rFont val="Tahoma"/>
            <family val="2"/>
          </rPr>
          <t xml:space="preserve">
New or renew</t>
        </r>
      </text>
    </comment>
    <comment ref="H12" authorId="0" shapeId="0" xr:uid="{00000000-0006-0000-0000-000003000000}">
      <text>
        <r>
          <rPr>
            <sz val="9"/>
            <color indexed="81"/>
            <rFont val="Tahoma"/>
            <family val="2"/>
          </rPr>
          <t>Quý bán hàng  dự kiến. VD: Quý IV/2023</t>
        </r>
      </text>
    </comment>
    <comment ref="I12" authorId="0" shapeId="0" xr:uid="{00000000-0006-0000-0000-000004000000}">
      <text>
        <r>
          <rPr>
            <b/>
            <sz val="9"/>
            <color indexed="81"/>
            <rFont val="Tahoma"/>
            <family val="2"/>
          </rPr>
          <t>BUI LONG HOA:</t>
        </r>
        <r>
          <rPr>
            <sz val="9"/>
            <color indexed="81"/>
            <rFont val="Tahoma"/>
            <family val="2"/>
          </rPr>
          <t xml:space="preserve">
Dựa vào Stage để ghi. VD: 50%</t>
        </r>
      </text>
    </comment>
    <comment ref="J12" authorId="0" shapeId="0" xr:uid="{00000000-0006-0000-0000-000005000000}">
      <text>
        <r>
          <rPr>
            <b/>
            <sz val="9"/>
            <color indexed="81"/>
            <rFont val="Tahoma"/>
            <family val="2"/>
          </rPr>
          <t>BUI LONG HOA:</t>
        </r>
        <r>
          <rPr>
            <sz val="9"/>
            <color indexed="81"/>
            <rFont val="Tahoma"/>
            <family val="2"/>
          </rPr>
          <t xml:space="preserve">
Note các thông tin cần lưu ý về đơn hàng.
VD: KH Đang xin ngân sách ...</t>
        </r>
      </text>
    </comment>
  </commentList>
</comments>
</file>

<file path=xl/sharedStrings.xml><?xml version="1.0" encoding="utf-8"?>
<sst xmlns="http://schemas.openxmlformats.org/spreadsheetml/2006/main" count="123" uniqueCount="61">
  <si>
    <t>Công ty CP Tích hợp hệ thống Nam Trường Sơn</t>
  </si>
  <si>
    <t>55/10 Trần Đình Xu, P. Cầu Kho, Q.1, TP. HCM</t>
  </si>
  <si>
    <t>Stage (trạng thái)</t>
  </si>
  <si>
    <r>
      <rPr>
        <b/>
        <sz val="10"/>
        <color indexed="12"/>
        <rFont val="Calibri"/>
        <family val="2"/>
      </rPr>
      <t>30% : Pipeline</t>
    </r>
    <r>
      <rPr>
        <sz val="10"/>
        <color indexed="12"/>
        <rFont val="Calibri"/>
        <family val="2"/>
      </rPr>
      <t xml:space="preserve"> </t>
    </r>
    <r>
      <rPr>
        <sz val="10"/>
        <color indexed="8"/>
        <rFont val="Calibri"/>
        <family val="2"/>
      </rPr>
      <t>(khảo sát nhu cầu khách hàng)</t>
    </r>
    <r>
      <rPr>
        <b/>
        <sz val="10"/>
        <color indexed="12"/>
        <rFont val="Calibri"/>
        <family val="2"/>
      </rPr>
      <t/>
    </r>
  </si>
  <si>
    <r>
      <rPr>
        <b/>
        <sz val="10"/>
        <color indexed="12"/>
        <rFont val="Calibri"/>
        <family val="2"/>
      </rPr>
      <t xml:space="preserve">50%: Forecast </t>
    </r>
    <r>
      <rPr>
        <sz val="10"/>
        <color indexed="8"/>
        <rFont val="Calibri"/>
        <family val="2"/>
      </rPr>
      <t>(đã lên báo giá gởi khách hàng)</t>
    </r>
  </si>
  <si>
    <r>
      <rPr>
        <b/>
        <sz val="10"/>
        <color indexed="12"/>
        <rFont val="Calibri"/>
        <family val="2"/>
      </rPr>
      <t>70% : Commit</t>
    </r>
    <r>
      <rPr>
        <b/>
        <sz val="10"/>
        <color indexed="8"/>
        <rFont val="Calibri"/>
        <family val="2"/>
      </rPr>
      <t xml:space="preserve"> </t>
    </r>
    <r>
      <rPr>
        <sz val="10"/>
        <color indexed="8"/>
        <rFont val="Calibri"/>
        <family val="2"/>
      </rPr>
      <t>(EU đồng ý giải pháp, chờ ngân sách đầu tư)</t>
    </r>
  </si>
  <si>
    <r>
      <rPr>
        <b/>
        <sz val="10"/>
        <color indexed="12"/>
        <rFont val="Calibri"/>
        <family val="2"/>
      </rPr>
      <t>90% : Closed Won</t>
    </r>
    <r>
      <rPr>
        <b/>
        <sz val="10"/>
        <color indexed="8"/>
        <rFont val="Calibri"/>
        <family val="2"/>
      </rPr>
      <t xml:space="preserve"> </t>
    </r>
    <r>
      <rPr>
        <sz val="10"/>
        <color indexed="8"/>
        <rFont val="Calibri"/>
        <family val="2"/>
      </rPr>
      <t>(đã ký xác nhận đặt hàng)</t>
    </r>
  </si>
  <si>
    <r>
      <rPr>
        <b/>
        <sz val="10"/>
        <color indexed="12"/>
        <rFont val="Calibri"/>
        <family val="2"/>
      </rPr>
      <t xml:space="preserve">Closed Lost </t>
    </r>
    <r>
      <rPr>
        <sz val="10"/>
        <color indexed="8"/>
        <rFont val="Calibri"/>
        <family val="2"/>
      </rPr>
      <t>(mất cơ hội bán hàng)</t>
    </r>
  </si>
  <si>
    <t>No.</t>
  </si>
  <si>
    <t>A.M</t>
  </si>
  <si>
    <t>Customer</t>
  </si>
  <si>
    <t>Q'ty</t>
  </si>
  <si>
    <t>Volume (LP)</t>
  </si>
  <si>
    <t>Type</t>
  </si>
  <si>
    <t>Timeline</t>
  </si>
  <si>
    <t xml:space="preserve">Status </t>
  </si>
  <si>
    <t>Remarks</t>
  </si>
  <si>
    <t xml:space="preserve"> PIPELINE 2024</t>
  </si>
  <si>
    <t>BOM</t>
  </si>
  <si>
    <t>Sơn</t>
  </si>
  <si>
    <t>NEW</t>
  </si>
  <si>
    <t>XGS 3100 -lic 3Y</t>
  </si>
  <si>
    <t>Q1/Q2</t>
  </si>
  <si>
    <t>Quatest 3</t>
  </si>
  <si>
    <t>Tap Doan Thiên Long</t>
  </si>
  <si>
    <t>KES Select 1,2,3 Y</t>
  </si>
  <si>
    <t>Renew</t>
  </si>
  <si>
    <t>Q1</t>
  </si>
  <si>
    <t>BAO BI BIEN HOA</t>
  </si>
  <si>
    <t>KES Select 3Y</t>
  </si>
  <si>
    <t>Đã xuất hóa đơn</t>
  </si>
  <si>
    <t>Đang xin ngân sách</t>
  </si>
  <si>
    <t>Đang chờ duyệt</t>
  </si>
  <si>
    <t xml:space="preserve">CNG </t>
  </si>
  <si>
    <t>Peplink 1350</t>
  </si>
  <si>
    <t>Tinh Uy Bình Phước</t>
  </si>
  <si>
    <t>Kes Select</t>
  </si>
  <si>
    <t>TTCNTT&amp;TT Phú Yên</t>
  </si>
  <si>
    <t>Vmware</t>
  </si>
  <si>
    <t>Q3</t>
  </si>
  <si>
    <t>Q2</t>
  </si>
  <si>
    <t>TTCNTT&amp;TT Tiền Giang</t>
  </si>
  <si>
    <t>DLP 20 Lic 3Y</t>
  </si>
  <si>
    <t>Sophos XGS 3100</t>
  </si>
  <si>
    <t>Bệnh viện 7A</t>
  </si>
  <si>
    <t>Sophos XGS 4300 + CIXA</t>
  </si>
  <si>
    <t>GIC</t>
  </si>
  <si>
    <t>XGS 3100 -lic 3Y + Mail</t>
  </si>
  <si>
    <t>BV 7A</t>
  </si>
  <si>
    <t>XGS 4300 Lic STD 1Y + CIXA</t>
  </si>
  <si>
    <t>TCT CNSG</t>
  </si>
  <si>
    <t>Lic Sophos + CIXA</t>
  </si>
  <si>
    <t>T4</t>
  </si>
  <si>
    <t>TENAMYD</t>
  </si>
  <si>
    <t>XGS 2100+LIC+Wifi</t>
  </si>
  <si>
    <t>CÔNG AN LÂM ĐỒNG</t>
  </si>
  <si>
    <t xml:space="preserve">SERVER </t>
  </si>
  <si>
    <t>NHNN CHI NHÁNH ĐỒNG NAI</t>
  </si>
  <si>
    <t>Kaspersky</t>
  </si>
  <si>
    <t>BVQT PHÚ YÊN</t>
  </si>
  <si>
    <t>RENEW SOPHOS XGS 3100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</si>
</sst>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 ;&quot; (&quot;#,##0\);&quot; -&quot;#\ ;@\ "/>
  </numFmts>
  <fonts count="23" x14ac:knownFonts="1">
    <font>
      <sz val="11"/>
      <color theme="1"/>
      <name val="Calibri"/>
      <family val="2"/>
      <scheme val="minor"/>
    </font>
    <font>
      <sz val="11"/>
      <color rgb="FFFF0000"/>
      <name val="Calibri"/>
      <family val="2"/>
      <scheme val="minor"/>
    </font>
    <font>
      <b/>
      <sz val="11"/>
      <color theme="1"/>
      <name val="Calibri"/>
      <family val="2"/>
      <scheme val="minor"/>
    </font>
    <font>
      <b/>
      <sz val="20"/>
      <color theme="1"/>
      <name val="Calibri"/>
      <family val="2"/>
      <scheme val="minor"/>
    </font>
    <font>
      <b/>
      <sz val="10"/>
      <color rgb="FFFF0000"/>
      <name val="Calibri"/>
      <family val="2"/>
      <scheme val="minor"/>
    </font>
    <font>
      <b/>
      <sz val="11"/>
      <color rgb="FFFF0000"/>
      <name val="Calibri"/>
      <family val="2"/>
      <scheme val="minor"/>
    </font>
    <font>
      <b/>
      <sz val="10"/>
      <color theme="1"/>
      <name val="Calibri"/>
      <family val="2"/>
      <scheme val="minor"/>
    </font>
    <font>
      <b/>
      <sz val="10"/>
      <color indexed="12"/>
      <name val="Calibri"/>
      <family val="2"/>
    </font>
    <font>
      <sz val="10"/>
      <color indexed="12"/>
      <name val="Calibri"/>
      <family val="2"/>
    </font>
    <font>
      <sz val="10"/>
      <color indexed="8"/>
      <name val="Calibri"/>
      <family val="2"/>
    </font>
    <font>
      <b/>
      <sz val="11"/>
      <color rgb="FFC00000"/>
      <name val="Calibri"/>
      <family val="2"/>
      <scheme val="minor"/>
    </font>
    <font>
      <b/>
      <sz val="10"/>
      <color indexed="8"/>
      <name val="Calibri"/>
      <family val="2"/>
    </font>
    <font>
      <b/>
      <sz val="11"/>
      <color rgb="FF0000CC"/>
      <name val="Calibri"/>
      <family val="2"/>
      <scheme val="minor"/>
    </font>
    <font>
      <sz val="10"/>
      <name val="Arial"/>
      <family val="2"/>
    </font>
    <font>
      <b/>
      <sz val="11"/>
      <color rgb="FF020A70"/>
      <name val="Calibri"/>
      <family val="2"/>
      <scheme val="minor"/>
    </font>
    <font>
      <b/>
      <sz val="11"/>
      <name val="Calibri"/>
      <family val="2"/>
      <scheme val="minor"/>
    </font>
    <font>
      <b/>
      <sz val="9"/>
      <color indexed="81"/>
      <name val="Tahoma"/>
      <family val="2"/>
    </font>
    <font>
      <sz val="9"/>
      <color indexed="81"/>
      <name val="Tahoma"/>
      <family val="2"/>
    </font>
    <font>
      <sz val="11"/>
      <color theme="1"/>
      <name val="Calibri"/>
      <family val="2"/>
      <scheme val="minor"/>
    </font>
    <font>
      <sz val="11"/>
      <color theme="1"/>
      <name val="Calibri"/>
      <family val="2"/>
      <charset val="163"/>
      <scheme val="minor"/>
    </font>
    <font>
      <u/>
      <sz val="11"/>
      <color theme="10"/>
      <name val="Calibri"/>
      <family val="2"/>
      <charset val="163"/>
      <scheme val="minor"/>
    </font>
    <font>
      <sz val="8"/>
      <name val="Calibri"/>
      <family val="2"/>
      <scheme val="minor"/>
    </font>
    <font>
      <u/>
      <sz val="10"/>
      <color indexed="12"/>
      <name val="Arial"/>
      <family val="2"/>
    </font>
  </fonts>
  <fills count="5">
    <fill>
      <patternFill patternType="none"/>
    </fill>
    <fill>
      <patternFill patternType="gray125"/>
    </fill>
    <fill>
      <patternFill patternType="solid">
        <fgColor theme="0"/>
        <bgColor indexed="64"/>
      </patternFill>
    </fill>
    <fill>
      <patternFill patternType="solid">
        <fgColor theme="8" tint="0.79998168889431442"/>
        <bgColor indexed="35"/>
      </patternFill>
    </fill>
    <fill>
      <patternFill patternType="solid">
        <fgColor theme="8" tint="0.79998168889431442"/>
        <bgColor indexed="64"/>
      </patternFill>
    </fill>
  </fills>
  <borders count="9">
    <border>
      <left/>
      <right/>
      <top/>
      <bottom/>
      <diagonal/>
    </border>
    <border>
      <left style="thin">
        <color auto="1"/>
      </left>
      <right style="thin">
        <color auto="1"/>
      </right>
      <top style="hair">
        <color auto="1"/>
      </top>
      <bottom style="hair">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s>
  <cellStyleXfs count="13">
    <xf numFmtId="0" fontId="0" fillId="0" borderId="0"/>
    <xf numFmtId="0" fontId="13" fillId="0" borderId="0"/>
    <xf numFmtId="0" fontId="19" fillId="0" borderId="0"/>
    <xf numFmtId="0" fontId="13" fillId="0" borderId="0"/>
    <xf numFmtId="43" fontId="19" fillId="0" borderId="0" applyFont="0" applyFill="0" applyBorder="0" applyAlignment="0" applyProtection="0"/>
    <xf numFmtId="9" fontId="19" fillId="0" borderId="0" applyFont="0" applyFill="0" applyBorder="0" applyAlignment="0" applyProtection="0"/>
    <xf numFmtId="0" fontId="20" fillId="0" borderId="0" applyNumberFormat="0" applyFill="0" applyBorder="0" applyAlignment="0" applyProtection="0"/>
    <xf numFmtId="43" fontId="13" fillId="0" borderId="0" applyFont="0" applyFill="0" applyBorder="0" applyAlignment="0" applyProtection="0"/>
    <xf numFmtId="0" fontId="18" fillId="0" borderId="0"/>
    <xf numFmtId="0" fontId="13" fillId="0" borderId="0"/>
    <xf numFmtId="43" fontId="13" fillId="0" borderId="0" applyFont="0" applyFill="0" applyBorder="0" applyAlignment="0" applyProtection="0"/>
    <xf numFmtId="0" fontId="22" fillId="0" borderId="0" applyNumberFormat="0" applyFill="0" applyBorder="0" applyAlignment="0" applyProtection="0">
      <alignment vertical="top"/>
      <protection locked="0"/>
    </xf>
    <xf numFmtId="43" fontId="13" fillId="0" borderId="0" applyFont="0" applyFill="0" applyBorder="0" applyAlignment="0" applyProtection="0"/>
  </cellStyleXfs>
  <cellXfs count="35">
    <xf numFmtId="0" fontId="0" fillId="0" borderId="0" xfId="0"/>
    <xf numFmtId="0" fontId="2" fillId="0" borderId="0" xfId="0" applyFont="1" applyAlignment="1">
      <alignment horizontal="left" vertical="center"/>
    </xf>
    <xf numFmtId="0" fontId="0" fillId="0" borderId="0" xfId="0" applyAlignment="1">
      <alignment horizontal="center" vertical="center"/>
    </xf>
    <xf numFmtId="0" fontId="2"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0" borderId="0" xfId="0" applyFont="1" applyAlignment="1">
      <alignment horizontal="center" vertical="center" wrapText="1"/>
    </xf>
    <xf numFmtId="0" fontId="1" fillId="0" borderId="0" xfId="0" applyFont="1" applyAlignment="1">
      <alignment vertical="center"/>
    </xf>
    <xf numFmtId="0" fontId="6" fillId="0" borderId="0" xfId="0" applyFont="1" applyAlignment="1">
      <alignment vertical="center"/>
    </xf>
    <xf numFmtId="0" fontId="10" fillId="0" borderId="0" xfId="0" applyFont="1" applyAlignment="1">
      <alignment horizontal="center" vertical="center" wrapText="1"/>
    </xf>
    <xf numFmtId="0" fontId="12" fillId="0" borderId="0" xfId="0" applyFont="1" applyAlignment="1">
      <alignment vertical="center" wrapText="1"/>
    </xf>
    <xf numFmtId="0" fontId="0" fillId="2" borderId="0" xfId="0" applyFill="1" applyAlignment="1">
      <alignment vertical="center"/>
    </xf>
    <xf numFmtId="0" fontId="14" fillId="3" borderId="2" xfId="1" applyFont="1" applyFill="1" applyBorder="1" applyAlignment="1">
      <alignment horizontal="center" vertical="center" wrapText="1"/>
    </xf>
    <xf numFmtId="0" fontId="14" fillId="4" borderId="3" xfId="0" applyFont="1" applyFill="1" applyBorder="1" applyAlignment="1">
      <alignment horizontal="center" vertical="center" wrapText="1"/>
    </xf>
    <xf numFmtId="0" fontId="14" fillId="3" borderId="3" xfId="1" applyFont="1" applyFill="1" applyBorder="1" applyAlignment="1">
      <alignment horizontal="center" vertical="center"/>
    </xf>
    <xf numFmtId="0" fontId="14" fillId="3" borderId="3" xfId="1" applyFont="1" applyFill="1" applyBorder="1" applyAlignment="1">
      <alignment horizontal="center" vertical="center" wrapText="1"/>
    </xf>
    <xf numFmtId="0" fontId="14" fillId="4" borderId="3" xfId="1" applyFont="1" applyFill="1" applyBorder="1" applyAlignment="1">
      <alignment horizontal="center" vertical="center"/>
    </xf>
    <xf numFmtId="0" fontId="14" fillId="4" borderId="4" xfId="1" applyFont="1"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wrapText="1"/>
    </xf>
    <xf numFmtId="0" fontId="15" fillId="0" borderId="1" xfId="0" applyFont="1" applyBorder="1" applyAlignment="1">
      <alignment horizontal="left" vertical="center" wrapText="1"/>
    </xf>
    <xf numFmtId="0" fontId="0" fillId="0" borderId="1" xfId="0" applyBorder="1" applyAlignment="1">
      <alignment horizontal="center" vertical="center"/>
    </xf>
    <xf numFmtId="164" fontId="15" fillId="0" borderId="1" xfId="0" applyNumberFormat="1" applyFont="1" applyBorder="1" applyAlignment="1">
      <alignment horizontal="right" vertical="center" wrapText="1"/>
    </xf>
    <xf numFmtId="0" fontId="0" fillId="0" borderId="1" xfId="0" applyBorder="1" applyAlignment="1">
      <alignment vertical="center"/>
    </xf>
    <xf numFmtId="9" fontId="0" fillId="0" borderId="1" xfId="0" applyNumberFormat="1" applyBorder="1" applyAlignment="1">
      <alignment horizontal="center" vertical="center"/>
    </xf>
    <xf numFmtId="0" fontId="1" fillId="0" borderId="6" xfId="0" applyFont="1" applyBorder="1" applyAlignment="1">
      <alignment vertical="center"/>
    </xf>
    <xf numFmtId="0" fontId="0" fillId="0" borderId="7" xfId="0" applyBorder="1" applyAlignment="1">
      <alignment vertical="center"/>
    </xf>
    <xf numFmtId="0" fontId="1" fillId="0" borderId="6" xfId="0" applyFont="1" applyBorder="1" applyAlignment="1">
      <alignment vertical="center" wrapText="1"/>
    </xf>
    <xf numFmtId="0" fontId="0" fillId="0" borderId="7" xfId="0" applyBorder="1" applyAlignment="1">
      <alignment horizontal="center" vertical="center" wrapText="1"/>
    </xf>
    <xf numFmtId="0" fontId="15" fillId="0" borderId="7" xfId="0" applyFont="1" applyBorder="1" applyAlignment="1">
      <alignment horizontal="left" vertical="center" wrapText="1"/>
    </xf>
    <xf numFmtId="0" fontId="0" fillId="0" borderId="7" xfId="0" applyBorder="1" applyAlignment="1">
      <alignment horizontal="center" vertical="center"/>
    </xf>
    <xf numFmtId="164" fontId="15" fillId="0" borderId="7" xfId="0" applyNumberFormat="1" applyFont="1" applyBorder="1" applyAlignment="1">
      <alignment horizontal="right" vertical="center" wrapText="1"/>
    </xf>
    <xf numFmtId="9" fontId="0" fillId="0" borderId="7" xfId="0" applyNumberFormat="1" applyBorder="1" applyAlignment="1">
      <alignment horizontal="center" vertical="center"/>
    </xf>
    <xf numFmtId="0" fontId="1" fillId="0" borderId="8" xfId="0" applyFont="1" applyBorder="1" applyAlignment="1">
      <alignment vertical="center"/>
    </xf>
    <xf numFmtId="0" fontId="3" fillId="0" borderId="0" xfId="0" applyFont="1" applyAlignment="1">
      <alignment horizontal="center" vertical="center"/>
    </xf>
  </cellXfs>
  <cellStyles count="13">
    <cellStyle name="Comma 2" xfId="4" xr:uid="{9937842E-4257-4378-A8C6-3F2E845E5A2D}"/>
    <cellStyle name="Comma 2 2" xfId="7" xr:uid="{A4BDE17D-B4FC-4ED7-91B6-BCCEB0B9B09D}"/>
    <cellStyle name="Comma 8" xfId="12" xr:uid="{2AFA2CC8-AAA9-4EAF-8EBF-A56C9C346327}"/>
    <cellStyle name="Comma 9 3" xfId="10" xr:uid="{2ED30CC8-E7F5-454F-9BB2-1DF6C2F0604E}"/>
    <cellStyle name="Hyperlink 2" xfId="11" xr:uid="{D65243CB-BA11-4973-80F5-885B3B9B76F1}"/>
    <cellStyle name="Hyperlink 4" xfId="6" xr:uid="{1EF5EF87-8884-428B-B6F8-9E824996AFA0}"/>
    <cellStyle name="Normal" xfId="0" builtinId="0"/>
    <cellStyle name="Normal 13 3" xfId="9" xr:uid="{94A17427-8828-4AC3-A5E3-D32C290CE67D}"/>
    <cellStyle name="Normal 14" xfId="3" xr:uid="{970B8EBD-EADA-4E5A-9518-9017474AC772}"/>
    <cellStyle name="Normal 2" xfId="2" xr:uid="{E554C2BB-109A-4A76-97EA-516FDA90C1D9}"/>
    <cellStyle name="Normal 3" xfId="1" xr:uid="{00000000-0005-0000-0000-000001000000}"/>
    <cellStyle name="Normal 3 2 3 2 2 3" xfId="8" xr:uid="{1CE41507-D8AB-41E4-93ED-33419C12E38E}"/>
    <cellStyle name="Percent 2" xfId="5" xr:uid="{438134C7-273A-4EB9-ADF9-9E03B722AB90}"/>
  </cellStyles>
  <dxfs count="15">
    <dxf>
      <font>
        <b val="0"/>
        <i val="0"/>
        <strike val="0"/>
        <condense val="0"/>
        <extend val="0"/>
        <outline val="0"/>
        <shadow val="0"/>
        <u val="none"/>
        <vertAlign val="baseline"/>
        <sz val="11"/>
        <color rgb="FFFF0000"/>
        <name val="Calibri"/>
        <scheme val="minor"/>
      </font>
      <fill>
        <patternFill patternType="none">
          <bgColor auto="1"/>
        </patternFill>
      </fill>
      <alignment horizontal="general" vertical="center" textRotation="0" wrapText="0" indent="0" justifyLastLine="0" shrinkToFit="0" readingOrder="0"/>
      <border diagonalUp="0" diagonalDown="0" outline="0">
        <left style="thin">
          <color indexed="64"/>
        </left>
        <right/>
        <top style="hair">
          <color indexed="64"/>
        </top>
        <bottom/>
      </border>
    </dxf>
    <dxf>
      <font>
        <b val="0"/>
        <i val="0"/>
        <strike val="0"/>
        <condense val="0"/>
        <extend val="0"/>
        <outline val="0"/>
        <shadow val="0"/>
        <u val="none"/>
        <vertAlign val="baseline"/>
        <sz val="11"/>
        <color theme="1"/>
        <name val="Calibri"/>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thin">
          <color indexed="64"/>
        </bottom>
      </border>
    </dxf>
    <dxf>
      <font>
        <b/>
        <i val="0"/>
        <strike val="0"/>
        <condense val="0"/>
        <extend val="0"/>
        <outline val="0"/>
        <shadow val="0"/>
        <u val="none"/>
        <vertAlign val="baseline"/>
        <sz val="11"/>
        <color auto="1"/>
        <name val="Calibri"/>
        <scheme val="minor"/>
      </font>
      <numFmt numFmtId="164" formatCode="#,##0\ ;&quot; (&quot;#,##0\);&quot; -&quot;#\ ;@\ "/>
      <fill>
        <patternFill patternType="none">
          <fgColor indexed="35"/>
          <bgColor auto="1"/>
        </patternFill>
      </fill>
      <alignment horizontal="right" vertical="center" textRotation="0" wrapText="1" indent="0" justifyLastLine="0" shrinkToFit="0" readingOrder="0"/>
      <border diagonalUp="0" diagonalDown="0" outline="0">
        <left style="thin">
          <color indexed="64"/>
        </left>
        <right style="thin">
          <color indexed="64"/>
        </right>
        <top style="hair">
          <color indexed="64"/>
        </top>
        <bottom style="thin">
          <color indexed="64"/>
        </bottom>
      </border>
    </dxf>
    <dxf>
      <font>
        <b/>
        <i val="0"/>
        <strike val="0"/>
        <condense val="0"/>
        <extend val="0"/>
        <outline val="0"/>
        <shadow val="0"/>
        <u val="none"/>
        <vertAlign val="baseline"/>
        <sz val="11"/>
        <color auto="1"/>
        <name val="Calibri"/>
        <scheme val="minor"/>
      </font>
      <numFmt numFmtId="164" formatCode="#,##0\ ;&quot; (&quot;#,##0\);&quot; -&quot;#\ ;@\ "/>
      <fill>
        <patternFill patternType="none">
          <fgColor indexed="35"/>
          <bgColor auto="1"/>
        </patternFill>
      </fill>
      <alignment horizontal="right" vertical="center" textRotation="0" wrapText="1" indent="0" justifyLastLine="0" shrinkToFit="0" readingOrder="0"/>
      <border diagonalUp="0" diagonalDown="0" outline="0">
        <left style="thin">
          <color indexed="64"/>
        </left>
        <right style="thin">
          <color indexed="64"/>
        </right>
        <top style="hair">
          <color indexed="64"/>
        </top>
        <bottom style="thin">
          <color indexed="64"/>
        </bottom>
      </border>
    </dxf>
    <dxf>
      <font>
        <b/>
        <color auto="1"/>
      </font>
      <fill>
        <patternFill patternType="none">
          <fgColor indexed="64"/>
          <bgColor auto="1"/>
        </patternFill>
      </fill>
      <alignment horizontal="left" vertical="center" textRotation="0" wrapText="1" indent="0" justifyLastLine="0" shrinkToFit="0" readingOrder="0"/>
      <border diagonalUp="0" diagonalDown="0">
        <left style="thin">
          <color auto="1"/>
        </left>
        <right style="thin">
          <color auto="1"/>
        </right>
        <top style="hair">
          <color auto="1"/>
        </top>
        <bottom style="hair">
          <color auto="1"/>
        </bottom>
        <vertical/>
        <horizontal/>
      </border>
    </dxf>
    <dxf>
      <font>
        <b/>
        <i val="0"/>
        <strike val="0"/>
        <condense val="0"/>
        <extend val="0"/>
        <outline val="0"/>
        <shadow val="0"/>
        <u val="none"/>
        <vertAlign val="baseline"/>
        <sz val="11"/>
        <color auto="1"/>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hair">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bgColor auto="1"/>
        </patternFill>
      </fill>
      <alignment horizontal="center" vertical="center" textRotation="0" wrapText="0" indent="0" justifyLastLine="0" shrinkToFit="0" readingOrder="0"/>
      <border diagonalUp="0" diagonalDown="0" outline="0">
        <left/>
        <right style="thin">
          <color indexed="64"/>
        </right>
        <top style="hair">
          <color indexed="64"/>
        </top>
        <bottom style="thin">
          <color indexed="64"/>
        </bottom>
      </border>
    </dxf>
    <dxf>
      <border outline="0">
        <top style="hair">
          <color indexed="64"/>
        </top>
      </border>
    </dxf>
    <dxf>
      <border outline="0">
        <left style="thin">
          <color indexed="64"/>
        </left>
        <right style="thin">
          <color indexed="64"/>
        </right>
        <top style="thin">
          <color indexed="64"/>
        </top>
        <bottom style="thin">
          <color indexed="64"/>
        </bottom>
      </border>
    </dxf>
    <dxf>
      <fill>
        <patternFill patternType="none">
          <bgColor auto="1"/>
        </patternFill>
      </fill>
    </dxf>
    <dxf>
      <border outline="0">
        <bottom style="thin">
          <color indexed="64"/>
        </bottom>
      </border>
    </dxf>
    <dxf>
      <font>
        <b/>
        <i val="0"/>
        <strike val="0"/>
        <condense val="0"/>
        <extend val="0"/>
        <outline val="0"/>
        <shadow val="0"/>
        <u val="none"/>
        <vertAlign val="baseline"/>
        <sz val="11"/>
        <color rgb="FF020A70"/>
        <name val="Calibri"/>
        <scheme val="minor"/>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Working\Khach%20hang\Tenamyd\2024\TENAMYD-SOPHOS-NG-WIFI-%20GOC.xlsx" TargetMode="External"/><Relationship Id="rId1" Type="http://schemas.openxmlformats.org/officeDocument/2006/relationships/externalLinkPath" Target="file:///D:\Working\Khach%20hang\Tenamyd\2024\TENAMYD-SOPHOS-NG-WIFI-%20GO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phos XGS LIC"/>
      <sheetName val="HANGHOA"/>
      <sheetName val="SKU SOPHOS"/>
      <sheetName val="XGS 2100 Lic Xstream"/>
      <sheetName val="XGS 2100 Tenamyd"/>
      <sheetName val="XGS 2100"/>
      <sheetName val="HE THONG Ck 10%"/>
      <sheetName val="HE THONG"/>
      <sheetName val="Tenamyd"/>
      <sheetName val="Sophos XGS"/>
      <sheetName val="NCC"/>
    </sheetNames>
    <sheetDataSet>
      <sheetData sheetId="0"/>
      <sheetData sheetId="1">
        <row r="1">
          <cell r="B1" t="str">
            <v>MAHH</v>
          </cell>
          <cell r="C1" t="str">
            <v>SKU</v>
          </cell>
          <cell r="D1" t="str">
            <v>LP USD</v>
          </cell>
          <cell r="E1" t="str">
            <v>TYGIA</v>
          </cell>
          <cell r="F1" t="str">
            <v>Description</v>
          </cell>
          <cell r="G1" t="str">
            <v>P/N</v>
          </cell>
          <cell r="H1" t="str">
            <v>TÊN HÀNG HÓA</v>
          </cell>
          <cell r="I1" t="str">
            <v>DIỄN GIẢI</v>
          </cell>
          <cell r="J1" t="str">
            <v>S.L</v>
          </cell>
          <cell r="K1" t="str">
            <v>HÃNG</v>
          </cell>
          <cell r="L1" t="str">
            <v>NCC</v>
          </cell>
          <cell r="M1" t="str">
            <v>ĐVT</v>
          </cell>
          <cell r="N1" t="str">
            <v>OFF</v>
          </cell>
          <cell r="O1" t="str">
            <v>GIÁ VỐN</v>
          </cell>
          <cell r="P1" t="str">
            <v>TỶ LỆ</v>
          </cell>
          <cell r="Q1" t="str">
            <v>ĐƠN GIÁ 
(VNĐ)</v>
          </cell>
          <cell r="R1" t="str">
            <v>GIÁ DV</v>
          </cell>
          <cell r="S1" t="str">
            <v>Ghi Chú</v>
          </cell>
          <cell r="T1" t="str">
            <v>TOTAL VỐN</v>
          </cell>
          <cell r="U1" t="str">
            <v>TOTAL BÁN</v>
          </cell>
        </row>
        <row r="2">
          <cell r="B2"/>
          <cell r="C2"/>
          <cell r="D2"/>
          <cell r="E2"/>
          <cell r="F2"/>
          <cell r="G2"/>
          <cell r="H2"/>
          <cell r="I2"/>
          <cell r="J2"/>
          <cell r="K2"/>
          <cell r="L2"/>
          <cell r="M2"/>
          <cell r="N2"/>
          <cell r="O2"/>
          <cell r="P2"/>
          <cell r="Q2"/>
          <cell r="R2"/>
          <cell r="S2"/>
          <cell r="T2"/>
          <cell r="U2"/>
        </row>
        <row r="3">
          <cell r="B3"/>
          <cell r="C3"/>
          <cell r="D3"/>
          <cell r="E3"/>
          <cell r="F3"/>
          <cell r="G3"/>
          <cell r="H3"/>
          <cell r="I3"/>
          <cell r="J3"/>
          <cell r="K3"/>
          <cell r="L3"/>
          <cell r="M3"/>
          <cell r="N3"/>
          <cell r="O3"/>
          <cell r="P3"/>
          <cell r="Q3"/>
          <cell r="R3"/>
          <cell r="S3"/>
          <cell r="T3"/>
          <cell r="U3"/>
        </row>
        <row r="4">
          <cell r="B4"/>
          <cell r="C4"/>
          <cell r="D4"/>
          <cell r="E4"/>
          <cell r="F4"/>
          <cell r="G4"/>
          <cell r="H4"/>
          <cell r="I4"/>
          <cell r="J4"/>
          <cell r="K4"/>
          <cell r="L4"/>
          <cell r="M4"/>
          <cell r="N4"/>
          <cell r="O4"/>
          <cell r="P4"/>
          <cell r="Q4"/>
          <cell r="R4"/>
          <cell r="S4"/>
          <cell r="T4"/>
          <cell r="U4"/>
        </row>
        <row r="5">
          <cell r="B5"/>
          <cell r="C5"/>
          <cell r="D5"/>
          <cell r="E5"/>
          <cell r="F5"/>
          <cell r="G5"/>
          <cell r="H5"/>
          <cell r="I5"/>
          <cell r="J5"/>
          <cell r="K5"/>
          <cell r="L5"/>
          <cell r="M5"/>
          <cell r="N5"/>
          <cell r="O5"/>
          <cell r="P5"/>
          <cell r="Q5"/>
          <cell r="R5"/>
          <cell r="S5"/>
          <cell r="T5"/>
          <cell r="U5"/>
        </row>
        <row r="6">
          <cell r="B6"/>
          <cell r="C6"/>
          <cell r="D6"/>
          <cell r="E6"/>
          <cell r="F6"/>
          <cell r="G6"/>
          <cell r="H6"/>
          <cell r="I6"/>
          <cell r="J6"/>
          <cell r="K6"/>
          <cell r="L6"/>
          <cell r="M6"/>
          <cell r="N6"/>
          <cell r="O6"/>
          <cell r="P6"/>
          <cell r="Q6"/>
          <cell r="R6"/>
          <cell r="S6"/>
          <cell r="T6"/>
          <cell r="U6"/>
        </row>
        <row r="7">
          <cell r="B7"/>
          <cell r="C7"/>
          <cell r="D7"/>
          <cell r="E7"/>
          <cell r="F7"/>
          <cell r="G7"/>
          <cell r="H7"/>
          <cell r="I7"/>
          <cell r="J7"/>
          <cell r="K7"/>
          <cell r="L7"/>
          <cell r="M7"/>
          <cell r="N7"/>
          <cell r="O7"/>
          <cell r="P7"/>
          <cell r="Q7"/>
          <cell r="R7"/>
          <cell r="S7"/>
          <cell r="T7"/>
          <cell r="U7"/>
        </row>
        <row r="8">
          <cell r="B8"/>
          <cell r="C8"/>
          <cell r="D8"/>
          <cell r="E8"/>
          <cell r="F8"/>
          <cell r="G8"/>
          <cell r="H8"/>
          <cell r="I8"/>
          <cell r="J8"/>
          <cell r="K8"/>
          <cell r="L8"/>
          <cell r="M8"/>
          <cell r="N8"/>
          <cell r="O8"/>
          <cell r="P8"/>
          <cell r="Q8"/>
          <cell r="R8"/>
          <cell r="S8"/>
          <cell r="T8"/>
          <cell r="U8"/>
        </row>
        <row r="9">
          <cell r="B9" t="str">
            <v>X-XS2100-36M</v>
          </cell>
          <cell r="C9" t="str">
            <v>IG2A3CSEU</v>
          </cell>
          <cell r="D9">
            <v>7915.5</v>
          </cell>
          <cell r="E9">
            <v>25500</v>
          </cell>
          <cell r="F9" t="str">
            <v>- Network Protection: Xstream TLS and DPI engine, IPS, ATP, Security Heartbeat, SD-RED VPN, reporting
- Web Protection: Xstream TLS and DPI engine, Web Security and Control, Application Control, reporting
- Zero-day protection: Machine Learning, Sandboxing File Analysis, Threat Intelligence.
- Central Orchestration: SD-WAN VPN Orchestration, CFR Advanced.
- Enhanced Support: 24/7 support, feature updates, advanced replacement hardware warranty for term</v>
          </cell>
          <cell r="G9">
            <v>201845250</v>
          </cell>
          <cell r="H9"/>
          <cell r="I9"/>
          <cell r="J9"/>
          <cell r="K9"/>
          <cell r="L9"/>
          <cell r="M9"/>
          <cell r="N9"/>
          <cell r="O9"/>
          <cell r="P9"/>
          <cell r="Q9"/>
          <cell r="R9"/>
          <cell r="S9"/>
          <cell r="T9"/>
          <cell r="U9"/>
        </row>
        <row r="10">
          <cell r="B10" t="str">
            <v>TENAMYD1</v>
          </cell>
          <cell r="C10" t="e">
            <v>#N/A</v>
          </cell>
          <cell r="D10"/>
          <cell r="E10"/>
          <cell r="F10"/>
          <cell r="G10" t="str">
            <v>PL-E410X00B-RW</v>
          </cell>
          <cell r="H10" t="str">
            <v>Bộ thu phát wifi Cambium cnPilot E410 Indoor (ROW) 802.11ac wave 2, 2x2, AP. Chịu tải 256 User (không bao gồm PoE Injector)</v>
          </cell>
          <cell r="I10"/>
          <cell r="J10">
            <v>11</v>
          </cell>
          <cell r="K10" t="str">
            <v>CAMBIUM</v>
          </cell>
          <cell r="L10" t="str">
            <v>NTS</v>
          </cell>
          <cell r="M10" t="str">
            <v>Cái</v>
          </cell>
          <cell r="N10"/>
          <cell r="O10">
            <v>4000000</v>
          </cell>
          <cell r="P10">
            <v>0.35</v>
          </cell>
          <cell r="Q10">
            <v>5400000</v>
          </cell>
          <cell r="R10"/>
          <cell r="S10"/>
          <cell r="T10"/>
          <cell r="U10"/>
        </row>
        <row r="11">
          <cell r="B11" t="str">
            <v>TENAMYD2</v>
          </cell>
          <cell r="C11"/>
          <cell r="D11"/>
          <cell r="E11"/>
          <cell r="F11"/>
          <cell r="G11" t="str">
            <v>GS728TXP</v>
          </cell>
          <cell r="H11" t="str">
            <v>Thiết bị chuyển mạch Core SW
S3300-28X-PoE+ (GS728TXP) — 28-Port Gigabit Ethernet PoE+ Stackable Smart Managed Pro Switch with 24 PoE+ Ports, 2 Copper 10G and 2 SFP+ 10G Ports:
. Management: GUI; SCC; RMON, SNMP
. CPU/RAM/FLASH: 400Mhz /256M RAM /64M Flash
. 24x 10/100/1G RJ45 + 2x 100M/1G/10G RJ45 + 2x 1G/10G SFP+ with 24 PoE+ Ports
. Bandwidth/Forwarding: 128Gbps/95.2 Mpps
. Stacking: Up to 6 switches and 40G bi-directional bandwidth
. Packet buffer/ACLs/Jumbo Frames: 12Mb/100 shared/9,216
. MAC/ARP/VLAN/Multicast Group: 16K/512/256/512
. Feature Set: Layer-2+, 32 Static Routing IPv4
. LAGs: 26 LAGs with max 8 members in each LAG
. PoE Budget (Watts): 195W/720W RPS
. Fan/PSU/Form Factor: 2 internal fans, fixed/1 internal PSU fixed, 1 RPS/Rack 1U</v>
          </cell>
          <cell r="I11"/>
          <cell r="J11">
            <v>1</v>
          </cell>
          <cell r="K11" t="str">
            <v>NETGEAR</v>
          </cell>
          <cell r="L11" t="str">
            <v>NTS</v>
          </cell>
          <cell r="M11" t="str">
            <v>Cái</v>
          </cell>
          <cell r="N11"/>
          <cell r="O11">
            <v>22183000</v>
          </cell>
          <cell r="P11">
            <v>0.3</v>
          </cell>
          <cell r="Q11">
            <v>28837900</v>
          </cell>
          <cell r="R11"/>
          <cell r="S11"/>
          <cell r="T11"/>
          <cell r="U11"/>
        </row>
        <row r="12">
          <cell r="B12" t="str">
            <v>TENAMYD3</v>
          </cell>
          <cell r="C12"/>
          <cell r="D12">
            <v>2704.5</v>
          </cell>
          <cell r="E12"/>
          <cell r="F12"/>
          <cell r="G12" t="str">
            <v>XGS 2100</v>
          </cell>
          <cell r="H12" t="str">
            <v>Thiết bị tường lửa Sophos XGS 2100
XGS 2100 HW Appliance with 8 GE + 2 SFP ports, 1 expansion bay for optional Flexi Port module, SSD + Base License (incl. FW, VPN &amp; Wireless) for unlimited users + power cable</v>
          </cell>
          <cell r="I12"/>
          <cell r="J12">
            <v>1</v>
          </cell>
          <cell r="K12" t="str">
            <v>Sophos</v>
          </cell>
          <cell r="L12" t="str">
            <v>NTS</v>
          </cell>
          <cell r="M12" t="str">
            <v>Cái</v>
          </cell>
          <cell r="N12">
            <v>0.4</v>
          </cell>
          <cell r="O12" t="e">
            <v>#REF!</v>
          </cell>
          <cell r="P12">
            <v>0.4</v>
          </cell>
          <cell r="Q12" t="e">
            <v>#REF!</v>
          </cell>
          <cell r="R12">
            <v>124677000</v>
          </cell>
          <cell r="S12"/>
          <cell r="T12"/>
          <cell r="U12"/>
        </row>
        <row r="13">
          <cell r="B13" t="str">
            <v>TENAMYD4</v>
          </cell>
          <cell r="C13"/>
          <cell r="D13">
            <v>2638.5</v>
          </cell>
          <cell r="E13"/>
          <cell r="F13"/>
          <cell r="G13" t="str">
            <v>XGS 2100
Bản quyền
Xstream Protection 
X-XS2100
(12 tháng)</v>
          </cell>
          <cell r="H13" t="str">
            <v>Phần mềm hỗ trợ tường lửa 
1-Year Xstream Protection Subscription
Features:
- Base License: Stateful Firewall, Networking and SD-WAN, Wireless, VPN, Reporting (7-day)
- Network Protection: Xstream TLS, DPI, IPS, ATP, Security Heartbeat, SD-RED Management
- Web Protection: : Xstream TLS, DPI, Web security and Control, Application Control
- Zero-Day Protection: Static ML-based and dynamic (sandboxing) file analysis, Threat intelligence
- Enhanced Support: 24x7 Direct telephone and email support from Sophos, Security Updates &amp; Patches, Software Feature Updates &amp; Upgrades, Warranty and RMA hardware appliances</v>
          </cell>
          <cell r="I13"/>
          <cell r="J13">
            <v>1</v>
          </cell>
          <cell r="K13" t="str">
            <v>Sophos</v>
          </cell>
          <cell r="L13" t="str">
            <v>NTS</v>
          </cell>
          <cell r="M13" t="str">
            <v>Lic</v>
          </cell>
          <cell r="N13">
            <v>0.4</v>
          </cell>
          <cell r="O13" t="e">
            <v>#REF!</v>
          </cell>
          <cell r="P13">
            <v>0.55000000000000004</v>
          </cell>
          <cell r="Q13" t="e">
            <v>#REF!</v>
          </cell>
          <cell r="R13" t="e">
            <v>#REF!</v>
          </cell>
          <cell r="S13"/>
          <cell r="T13"/>
          <cell r="U13"/>
        </row>
        <row r="14">
          <cell r="B14" t="str">
            <v>TENAMYD5</v>
          </cell>
          <cell r="C14"/>
          <cell r="D14"/>
          <cell r="E14"/>
          <cell r="F14"/>
          <cell r="G14" t="str">
            <v>IS230-20TP-AC</v>
          </cell>
          <cell r="H14" t="str">
            <v>Thiết bị chuyển mạch L2 Maipu 16 Port GE 4x1G SFP interfaces, 260W PoE&amp;PoE+, One AC Power</v>
          </cell>
          <cell r="I14"/>
          <cell r="J14">
            <v>4</v>
          </cell>
          <cell r="K14" t="str">
            <v>CAMBIUM</v>
          </cell>
          <cell r="L14" t="str">
            <v>NTS</v>
          </cell>
          <cell r="M14" t="str">
            <v>Cái</v>
          </cell>
          <cell r="N14"/>
          <cell r="O14">
            <v>4832000</v>
          </cell>
          <cell r="P14">
            <v>0.3</v>
          </cell>
          <cell r="Q14">
            <v>6281600</v>
          </cell>
          <cell r="R14">
            <v>12593750</v>
          </cell>
          <cell r="S14"/>
          <cell r="T14"/>
          <cell r="U14"/>
        </row>
        <row r="15">
          <cell r="B15" t="str">
            <v>TENAMYD6</v>
          </cell>
          <cell r="C15"/>
          <cell r="D15"/>
          <cell r="E15"/>
          <cell r="F15"/>
          <cell r="G15" t="str">
            <v xml:space="preserve">IS230-28TP-AC	</v>
          </cell>
          <cell r="H15" t="str">
            <v>Thiết bị chuyển mạch L2 Maipu 24 Port GE 4x1G SFP interfaces, 380W PoE&amp;PoE+, One AC Power</v>
          </cell>
          <cell r="I15"/>
          <cell r="J15">
            <v>2</v>
          </cell>
          <cell r="K15" t="str">
            <v>Sacom</v>
          </cell>
          <cell r="L15" t="str">
            <v>NTS</v>
          </cell>
          <cell r="M15" t="str">
            <v>Cái</v>
          </cell>
          <cell r="N15"/>
          <cell r="O15">
            <v>5717000</v>
          </cell>
          <cell r="P15">
            <v>0.3</v>
          </cell>
          <cell r="Q15">
            <v>7432100</v>
          </cell>
          <cell r="R15">
            <v>12593750</v>
          </cell>
          <cell r="S15"/>
          <cell r="T15"/>
          <cell r="U15"/>
        </row>
        <row r="16">
          <cell r="B16" t="str">
            <v>TENAMYD7</v>
          </cell>
          <cell r="C16"/>
          <cell r="D16"/>
          <cell r="E16"/>
          <cell r="F16"/>
          <cell r="G16" t="str">
            <v>NTS Service</v>
          </cell>
          <cell r="H16" t="str">
            <v>Dịch vụ lắp đặt thiết bị và kiểm tra hệ thống:
- Cài đặt quản trị hệ thống bảo mật 
- Cài đặt quản trị Wifi Cloud 
- Cài đặt quản trị hệ thống Vlan
- Cấu hình quản trị thiết bị wifi maketing</v>
          </cell>
          <cell r="I16"/>
          <cell r="J16">
            <v>1</v>
          </cell>
          <cell r="K16" t="str">
            <v>VN</v>
          </cell>
          <cell r="L16" t="str">
            <v>NTS</v>
          </cell>
          <cell r="M16" t="str">
            <v>Gói</v>
          </cell>
          <cell r="N16"/>
          <cell r="O16">
            <v>8000000</v>
          </cell>
          <cell r="P16"/>
          <cell r="Q16">
            <v>8000000</v>
          </cell>
          <cell r="R16"/>
          <cell r="S16"/>
          <cell r="T16"/>
          <cell r="U16"/>
        </row>
        <row r="17">
          <cell r="B17"/>
          <cell r="C17"/>
          <cell r="D17"/>
          <cell r="E17"/>
          <cell r="F17"/>
          <cell r="G17"/>
          <cell r="H17"/>
          <cell r="I17"/>
          <cell r="J17"/>
          <cell r="K17" t="str">
            <v>VN</v>
          </cell>
          <cell r="L17"/>
          <cell r="M17" t="str">
            <v>Tủ</v>
          </cell>
          <cell r="N17"/>
          <cell r="O17">
            <v>200000</v>
          </cell>
          <cell r="P17">
            <v>0.4</v>
          </cell>
          <cell r="Q17">
            <v>280000</v>
          </cell>
          <cell r="R17"/>
          <cell r="S17"/>
          <cell r="T17"/>
          <cell r="U17"/>
        </row>
        <row r="18">
          <cell r="B18"/>
          <cell r="C18"/>
          <cell r="D18"/>
          <cell r="E18"/>
          <cell r="F18"/>
          <cell r="G18"/>
          <cell r="H18"/>
          <cell r="I18"/>
          <cell r="J18"/>
          <cell r="K18" t="str">
            <v>VN</v>
          </cell>
          <cell r="L18"/>
          <cell r="M18" t="str">
            <v>Cái</v>
          </cell>
          <cell r="N18"/>
          <cell r="O18">
            <v>200000</v>
          </cell>
          <cell r="P18">
            <v>0.4</v>
          </cell>
          <cell r="Q18">
            <v>280000</v>
          </cell>
          <cell r="R18"/>
          <cell r="S18"/>
          <cell r="T18"/>
          <cell r="U18"/>
        </row>
        <row r="19">
          <cell r="B19"/>
          <cell r="C19"/>
          <cell r="D19"/>
          <cell r="E19"/>
          <cell r="F19"/>
          <cell r="G19"/>
          <cell r="H19"/>
          <cell r="I19"/>
          <cell r="J19"/>
          <cell r="K19" t="str">
            <v>AMPC</v>
          </cell>
          <cell r="L19" t="str">
            <v>NTS</v>
          </cell>
          <cell r="M19" t="str">
            <v>Cái</v>
          </cell>
          <cell r="N19"/>
          <cell r="O19">
            <v>5800000</v>
          </cell>
          <cell r="P19">
            <v>0.4</v>
          </cell>
          <cell r="Q19">
            <v>8119999.9999999991</v>
          </cell>
          <cell r="R19"/>
          <cell r="S19"/>
          <cell r="T19"/>
          <cell r="U19"/>
        </row>
        <row r="20">
          <cell r="B20"/>
          <cell r="C20"/>
          <cell r="D20"/>
          <cell r="E20"/>
          <cell r="F20"/>
          <cell r="G20"/>
          <cell r="H20"/>
          <cell r="I20"/>
          <cell r="J20"/>
          <cell r="K20" t="str">
            <v>AMPC</v>
          </cell>
          <cell r="L20" t="str">
            <v>NTS</v>
          </cell>
          <cell r="M20" t="str">
            <v>Cái</v>
          </cell>
          <cell r="N20"/>
          <cell r="O20">
            <v>1100000</v>
          </cell>
          <cell r="P20">
            <v>0.4</v>
          </cell>
          <cell r="Q20">
            <v>1540000</v>
          </cell>
          <cell r="R20"/>
          <cell r="S20"/>
          <cell r="T20"/>
          <cell r="U20"/>
        </row>
        <row r="21">
          <cell r="B21"/>
          <cell r="C21"/>
          <cell r="D21"/>
          <cell r="E21"/>
          <cell r="F21"/>
          <cell r="G21"/>
          <cell r="H21"/>
          <cell r="I21"/>
          <cell r="J21"/>
          <cell r="K21" t="str">
            <v>AMPC</v>
          </cell>
          <cell r="L21" t="str">
            <v>NTS</v>
          </cell>
          <cell r="M21" t="str">
            <v>Cái</v>
          </cell>
          <cell r="N21"/>
          <cell r="O21">
            <v>1250000</v>
          </cell>
          <cell r="P21">
            <v>0.4</v>
          </cell>
          <cell r="Q21">
            <v>1750000</v>
          </cell>
          <cell r="R21"/>
          <cell r="S21"/>
          <cell r="T21"/>
          <cell r="U21"/>
        </row>
        <row r="22">
          <cell r="B22"/>
          <cell r="C22"/>
          <cell r="D22"/>
          <cell r="E22"/>
          <cell r="F22"/>
          <cell r="G22"/>
          <cell r="H22"/>
          <cell r="I22"/>
          <cell r="J22"/>
          <cell r="K22" t="str">
            <v>Hikvision</v>
          </cell>
          <cell r="L22"/>
          <cell r="M22" t="str">
            <v>Cái</v>
          </cell>
          <cell r="N22"/>
          <cell r="O22">
            <v>1810000</v>
          </cell>
          <cell r="P22">
            <v>0.4</v>
          </cell>
          <cell r="Q22">
            <v>2534000</v>
          </cell>
          <cell r="R22"/>
          <cell r="S22"/>
          <cell r="T22"/>
          <cell r="U22"/>
        </row>
        <row r="23">
          <cell r="B23"/>
          <cell r="C23"/>
          <cell r="D23"/>
          <cell r="E23"/>
          <cell r="F23"/>
          <cell r="G23"/>
          <cell r="H23"/>
          <cell r="I23"/>
          <cell r="J23"/>
          <cell r="K23" t="str">
            <v>Hikvision</v>
          </cell>
          <cell r="L23"/>
          <cell r="M23" t="str">
            <v>Cái</v>
          </cell>
          <cell r="N23"/>
          <cell r="O23">
            <v>2750000</v>
          </cell>
          <cell r="P23">
            <v>0.4</v>
          </cell>
          <cell r="Q23">
            <v>3849999.9999999995</v>
          </cell>
          <cell r="R23"/>
          <cell r="S23"/>
          <cell r="T23"/>
          <cell r="U23"/>
        </row>
        <row r="24">
          <cell r="B24"/>
          <cell r="C24"/>
          <cell r="D24"/>
          <cell r="E24"/>
          <cell r="F24"/>
          <cell r="G24"/>
          <cell r="H24"/>
          <cell r="I24"/>
          <cell r="J24"/>
          <cell r="K24" t="str">
            <v>Hikvision</v>
          </cell>
          <cell r="L24"/>
          <cell r="M24" t="str">
            <v>Cái</v>
          </cell>
          <cell r="N24"/>
          <cell r="O24">
            <v>3792000</v>
          </cell>
          <cell r="P24">
            <v>0.4</v>
          </cell>
          <cell r="Q24">
            <v>5308800</v>
          </cell>
          <cell r="R24"/>
          <cell r="S24"/>
          <cell r="T24"/>
          <cell r="U24"/>
        </row>
        <row r="25">
          <cell r="B25"/>
          <cell r="C25"/>
          <cell r="D25"/>
          <cell r="E25"/>
          <cell r="F25"/>
          <cell r="G25"/>
          <cell r="H25"/>
          <cell r="I25"/>
          <cell r="J25"/>
          <cell r="K25" t="str">
            <v>Hikvision</v>
          </cell>
          <cell r="L25"/>
          <cell r="M25" t="str">
            <v>Cái</v>
          </cell>
          <cell r="N25"/>
          <cell r="O25">
            <v>2102000</v>
          </cell>
          <cell r="P25">
            <v>0.4</v>
          </cell>
          <cell r="Q25">
            <v>2942800</v>
          </cell>
          <cell r="R25"/>
          <cell r="S25"/>
          <cell r="T25"/>
          <cell r="U25"/>
        </row>
        <row r="26">
          <cell r="B26"/>
          <cell r="C26"/>
          <cell r="D26"/>
          <cell r="E26"/>
          <cell r="F26"/>
          <cell r="G26"/>
          <cell r="H26"/>
          <cell r="I26"/>
          <cell r="J26"/>
          <cell r="K26" t="str">
            <v>Hikvision</v>
          </cell>
          <cell r="L26"/>
          <cell r="M26" t="str">
            <v>Cái</v>
          </cell>
          <cell r="N26"/>
          <cell r="O26">
            <v>6865000</v>
          </cell>
          <cell r="P26">
            <v>0.4</v>
          </cell>
          <cell r="Q26">
            <v>9611000</v>
          </cell>
          <cell r="R26"/>
          <cell r="S26"/>
          <cell r="T26"/>
          <cell r="U26"/>
        </row>
        <row r="27">
          <cell r="B27"/>
          <cell r="C27"/>
          <cell r="D27"/>
          <cell r="E27"/>
          <cell r="F27"/>
          <cell r="G27"/>
          <cell r="H27"/>
          <cell r="I27"/>
          <cell r="J27"/>
          <cell r="K27" t="str">
            <v>WD TÍM</v>
          </cell>
          <cell r="L27"/>
          <cell r="M27" t="str">
            <v>Cái</v>
          </cell>
          <cell r="N27"/>
          <cell r="O27">
            <v>3640000</v>
          </cell>
          <cell r="P27">
            <v>0.4</v>
          </cell>
          <cell r="Q27">
            <v>5096000</v>
          </cell>
          <cell r="R27"/>
          <cell r="S27"/>
          <cell r="T27"/>
          <cell r="U27"/>
        </row>
        <row r="28">
          <cell r="B28"/>
          <cell r="C28"/>
          <cell r="D28"/>
          <cell r="E28"/>
          <cell r="F28"/>
          <cell r="G28"/>
          <cell r="H28"/>
          <cell r="I28"/>
          <cell r="J28"/>
          <cell r="K28" t="str">
            <v>HUNKEY</v>
          </cell>
          <cell r="L28"/>
          <cell r="M28" t="str">
            <v>Cái</v>
          </cell>
          <cell r="N28"/>
          <cell r="O28">
            <v>66000</v>
          </cell>
          <cell r="P28">
            <v>0.4</v>
          </cell>
          <cell r="Q28">
            <v>92400</v>
          </cell>
          <cell r="R28"/>
          <cell r="S28"/>
          <cell r="T28"/>
          <cell r="U28"/>
        </row>
        <row r="29">
          <cell r="B29"/>
          <cell r="C29"/>
          <cell r="D29"/>
          <cell r="E29"/>
          <cell r="F29"/>
          <cell r="G29"/>
          <cell r="H29"/>
          <cell r="I29"/>
          <cell r="J29"/>
          <cell r="K29" t="str">
            <v>VN</v>
          </cell>
          <cell r="L29"/>
          <cell r="M29" t="str">
            <v>Mối hàn</v>
          </cell>
          <cell r="N29"/>
          <cell r="O29">
            <v>60000</v>
          </cell>
          <cell r="P29">
            <v>0.4</v>
          </cell>
          <cell r="Q29">
            <v>84000</v>
          </cell>
          <cell r="R29"/>
          <cell r="S29"/>
          <cell r="T29"/>
          <cell r="U29"/>
        </row>
        <row r="30">
          <cell r="B30"/>
          <cell r="C30"/>
          <cell r="D30"/>
          <cell r="E30"/>
          <cell r="F30"/>
          <cell r="G30"/>
          <cell r="H30"/>
          <cell r="I30"/>
          <cell r="J30"/>
          <cell r="K30" t="str">
            <v>Đức</v>
          </cell>
          <cell r="L30"/>
          <cell r="M30" t="str">
            <v>Sợi</v>
          </cell>
          <cell r="N30"/>
          <cell r="O30">
            <v>81000</v>
          </cell>
          <cell r="P30">
            <v>0.4</v>
          </cell>
          <cell r="Q30">
            <v>113400</v>
          </cell>
          <cell r="R30"/>
          <cell r="S30"/>
          <cell r="T30"/>
          <cell r="U30"/>
        </row>
        <row r="31">
          <cell r="B31"/>
          <cell r="C31"/>
          <cell r="D31"/>
          <cell r="E31"/>
          <cell r="F31"/>
          <cell r="G31"/>
          <cell r="H31"/>
          <cell r="I31"/>
          <cell r="J31"/>
          <cell r="K31" t="str">
            <v>Comm</v>
          </cell>
          <cell r="L31"/>
          <cell r="M31" t="str">
            <v>Sợi</v>
          </cell>
          <cell r="N31"/>
          <cell r="O31">
            <v>81000</v>
          </cell>
          <cell r="P31">
            <v>0.4</v>
          </cell>
          <cell r="Q31">
            <v>110000</v>
          </cell>
          <cell r="R31"/>
          <cell r="S31"/>
          <cell r="T31"/>
          <cell r="U31"/>
        </row>
        <row r="32">
          <cell r="B32"/>
          <cell r="C32"/>
          <cell r="D32"/>
          <cell r="E32"/>
          <cell r="F32"/>
          <cell r="G32"/>
          <cell r="H32"/>
          <cell r="I32"/>
          <cell r="J32"/>
          <cell r="K32" t="str">
            <v>VN</v>
          </cell>
          <cell r="L32"/>
          <cell r="M32" t="str">
            <v>Bộ</v>
          </cell>
          <cell r="N32"/>
          <cell r="O32">
            <v>83000</v>
          </cell>
          <cell r="P32">
            <v>0.4</v>
          </cell>
          <cell r="Q32">
            <v>116199.99999999999</v>
          </cell>
          <cell r="R32"/>
          <cell r="S32"/>
          <cell r="T32"/>
          <cell r="U32"/>
        </row>
        <row r="33">
          <cell r="B33"/>
          <cell r="C33"/>
          <cell r="D33"/>
          <cell r="E33"/>
          <cell r="F33"/>
          <cell r="G33"/>
          <cell r="H33"/>
          <cell r="I33"/>
          <cell r="J33"/>
          <cell r="K33" t="str">
            <v>VN</v>
          </cell>
          <cell r="L33" t="str">
            <v>NTS</v>
          </cell>
          <cell r="M33" t="str">
            <v>Cái</v>
          </cell>
          <cell r="N33"/>
          <cell r="O33">
            <v>3500</v>
          </cell>
          <cell r="P33">
            <v>0.4</v>
          </cell>
          <cell r="Q33">
            <v>9000</v>
          </cell>
          <cell r="R33"/>
          <cell r="S33"/>
          <cell r="T33"/>
          <cell r="U33"/>
        </row>
        <row r="34">
          <cell r="B34"/>
          <cell r="C34"/>
          <cell r="D34"/>
          <cell r="E34"/>
          <cell r="F34"/>
          <cell r="G34"/>
          <cell r="H34"/>
          <cell r="I34"/>
          <cell r="J34"/>
          <cell r="K34" t="str">
            <v>Sacom</v>
          </cell>
          <cell r="L34" t="str">
            <v>NTS</v>
          </cell>
          <cell r="M34" t="str">
            <v>Thùng</v>
          </cell>
          <cell r="N34"/>
          <cell r="O34"/>
          <cell r="P34">
            <v>0.4</v>
          </cell>
          <cell r="Q34">
            <v>2760000</v>
          </cell>
          <cell r="R34"/>
          <cell r="S34"/>
          <cell r="T34"/>
          <cell r="U34"/>
        </row>
        <row r="35">
          <cell r="B35"/>
          <cell r="C35"/>
          <cell r="D35"/>
          <cell r="E35"/>
          <cell r="F35"/>
          <cell r="G35"/>
          <cell r="H35"/>
          <cell r="I35"/>
          <cell r="J35"/>
          <cell r="K35" t="str">
            <v>VN</v>
          </cell>
          <cell r="L35"/>
          <cell r="M35" t="str">
            <v>Cái</v>
          </cell>
          <cell r="N35"/>
          <cell r="O35">
            <v>5600000</v>
          </cell>
          <cell r="P35">
            <v>0.4</v>
          </cell>
          <cell r="Q35">
            <v>7839999.9999999991</v>
          </cell>
          <cell r="R35"/>
          <cell r="S35"/>
          <cell r="T35"/>
          <cell r="U35"/>
        </row>
        <row r="36">
          <cell r="B36"/>
          <cell r="C36"/>
          <cell r="D36"/>
          <cell r="E36"/>
          <cell r="F36"/>
          <cell r="G36"/>
          <cell r="H36"/>
          <cell r="I36"/>
          <cell r="J36"/>
          <cell r="K36" t="str">
            <v>VN</v>
          </cell>
          <cell r="L36"/>
          <cell r="M36" t="str">
            <v>Cái</v>
          </cell>
          <cell r="N36"/>
          <cell r="O36">
            <v>100000</v>
          </cell>
          <cell r="P36">
            <v>0.4</v>
          </cell>
          <cell r="Q36">
            <v>140000</v>
          </cell>
          <cell r="R36"/>
          <cell r="S36"/>
          <cell r="T36"/>
          <cell r="U36"/>
        </row>
        <row r="37">
          <cell r="B37"/>
          <cell r="C37"/>
          <cell r="D37"/>
          <cell r="E37"/>
          <cell r="F37"/>
          <cell r="G37"/>
          <cell r="H37"/>
          <cell r="I37"/>
          <cell r="J37"/>
          <cell r="K37" t="str">
            <v>VN</v>
          </cell>
          <cell r="L37"/>
          <cell r="M37" t="str">
            <v>Sợi</v>
          </cell>
          <cell r="N37"/>
          <cell r="O37">
            <v>0</v>
          </cell>
          <cell r="P37">
            <v>0.4</v>
          </cell>
          <cell r="Q37">
            <v>0</v>
          </cell>
          <cell r="R37"/>
          <cell r="S37"/>
          <cell r="T37"/>
          <cell r="U37"/>
        </row>
        <row r="38">
          <cell r="B38"/>
          <cell r="C38"/>
          <cell r="D38"/>
          <cell r="E38"/>
          <cell r="F38"/>
          <cell r="G38"/>
          <cell r="H38"/>
          <cell r="I38"/>
          <cell r="J38"/>
          <cell r="K38" t="str">
            <v>VN</v>
          </cell>
          <cell r="L38"/>
          <cell r="M38" t="str">
            <v>Gói</v>
          </cell>
          <cell r="N38"/>
          <cell r="O38">
            <v>18000000</v>
          </cell>
          <cell r="P38">
            <v>0.4</v>
          </cell>
          <cell r="Q38">
            <v>18000000</v>
          </cell>
          <cell r="R38"/>
          <cell r="S38"/>
          <cell r="T38"/>
          <cell r="U38"/>
        </row>
        <row r="39">
          <cell r="B39"/>
          <cell r="C39"/>
          <cell r="D39"/>
          <cell r="E39"/>
          <cell r="F39"/>
          <cell r="G39"/>
          <cell r="H39"/>
          <cell r="I39"/>
          <cell r="J39"/>
          <cell r="K39" t="str">
            <v>VN</v>
          </cell>
          <cell r="L39"/>
          <cell r="M39" t="str">
            <v>Gói</v>
          </cell>
          <cell r="N39"/>
          <cell r="O39" t="e">
            <v>#REF!</v>
          </cell>
          <cell r="P39">
            <v>0.4</v>
          </cell>
          <cell r="Q39">
            <v>11000000</v>
          </cell>
          <cell r="R39"/>
          <cell r="S39"/>
          <cell r="T39"/>
          <cell r="U39"/>
        </row>
        <row r="40">
          <cell r="B40"/>
          <cell r="C40"/>
          <cell r="D40">
            <v>510.5</v>
          </cell>
          <cell r="E40"/>
          <cell r="F40"/>
          <cell r="G40"/>
          <cell r="H40"/>
          <cell r="I40"/>
          <cell r="J40"/>
          <cell r="K40" t="str">
            <v>Sophos</v>
          </cell>
          <cell r="L40"/>
          <cell r="M40" t="str">
            <v>Cái</v>
          </cell>
          <cell r="N40">
            <v>0.35</v>
          </cell>
          <cell r="O40" t="e">
            <v>#REF!</v>
          </cell>
          <cell r="P40">
            <v>0.4</v>
          </cell>
          <cell r="Q40" t="e">
            <v>#REF!</v>
          </cell>
          <cell r="R40">
            <v>3576.5</v>
          </cell>
          <cell r="S40"/>
          <cell r="T40"/>
          <cell r="U40"/>
        </row>
        <row r="41">
          <cell r="B41"/>
          <cell r="C41"/>
          <cell r="D41"/>
          <cell r="E41"/>
          <cell r="F41"/>
          <cell r="G41"/>
          <cell r="H41"/>
          <cell r="I41"/>
          <cell r="J41"/>
          <cell r="K41" t="str">
            <v>Sophos</v>
          </cell>
          <cell r="L41"/>
          <cell r="M41" t="str">
            <v>Cái</v>
          </cell>
          <cell r="N41">
            <v>0.35</v>
          </cell>
          <cell r="O41" t="e">
            <v>#REF!</v>
          </cell>
          <cell r="P41">
            <v>0.4</v>
          </cell>
          <cell r="Q41" t="e">
            <v>#REF!</v>
          </cell>
          <cell r="R41">
            <v>3576.5</v>
          </cell>
          <cell r="S41"/>
          <cell r="T41"/>
          <cell r="U41"/>
        </row>
        <row r="42">
          <cell r="B42"/>
          <cell r="C42"/>
          <cell r="D42">
            <v>5150</v>
          </cell>
          <cell r="E42"/>
          <cell r="F42"/>
          <cell r="G42"/>
          <cell r="H42"/>
          <cell r="I42"/>
          <cell r="J42"/>
          <cell r="K42" t="str">
            <v>Sophos</v>
          </cell>
          <cell r="L42"/>
          <cell r="M42" t="str">
            <v>Cái</v>
          </cell>
          <cell r="N42">
            <v>0.35</v>
          </cell>
          <cell r="O42" t="e">
            <v>#REF!</v>
          </cell>
          <cell r="P42">
            <v>0.4</v>
          </cell>
          <cell r="Q42" t="e">
            <v>#REF!</v>
          </cell>
          <cell r="R42">
            <v>3576.5</v>
          </cell>
          <cell r="S42"/>
          <cell r="T42"/>
          <cell r="U42"/>
        </row>
        <row r="43">
          <cell r="B43"/>
          <cell r="C43"/>
          <cell r="D43"/>
          <cell r="E43"/>
          <cell r="F43"/>
          <cell r="G43"/>
          <cell r="H43"/>
          <cell r="I43"/>
          <cell r="J43"/>
          <cell r="K43"/>
          <cell r="L43"/>
          <cell r="M43"/>
          <cell r="N43"/>
          <cell r="O43"/>
          <cell r="P43"/>
          <cell r="Q43"/>
          <cell r="R43"/>
          <cell r="S43"/>
          <cell r="T43"/>
          <cell r="U43"/>
        </row>
        <row r="44">
          <cell r="B44"/>
          <cell r="C44"/>
          <cell r="D44"/>
          <cell r="E44"/>
          <cell r="F44"/>
          <cell r="G44"/>
          <cell r="H44"/>
          <cell r="I44"/>
          <cell r="J44"/>
          <cell r="K44"/>
          <cell r="L44"/>
          <cell r="M44"/>
          <cell r="N44"/>
          <cell r="O44"/>
          <cell r="P44"/>
          <cell r="Q44"/>
          <cell r="R44"/>
          <cell r="S44"/>
          <cell r="T44"/>
          <cell r="U44"/>
        </row>
        <row r="45">
          <cell r="B45"/>
          <cell r="C45"/>
          <cell r="D45"/>
          <cell r="E45"/>
          <cell r="F45"/>
          <cell r="G45"/>
          <cell r="H45"/>
          <cell r="I45"/>
          <cell r="J45"/>
          <cell r="K45"/>
          <cell r="L45"/>
          <cell r="M45"/>
          <cell r="N45"/>
          <cell r="O45"/>
          <cell r="P45"/>
          <cell r="Q45"/>
          <cell r="R45"/>
          <cell r="S45"/>
          <cell r="T45"/>
          <cell r="U45"/>
        </row>
        <row r="46">
          <cell r="B46"/>
          <cell r="C46"/>
          <cell r="D46"/>
          <cell r="E46"/>
          <cell r="F46"/>
          <cell r="G46"/>
          <cell r="H46"/>
          <cell r="I46"/>
          <cell r="J46"/>
          <cell r="K46"/>
          <cell r="L46"/>
          <cell r="M46"/>
          <cell r="N46"/>
          <cell r="O46"/>
          <cell r="P46">
            <v>0.4</v>
          </cell>
          <cell r="Q46"/>
          <cell r="R46"/>
          <cell r="S46"/>
          <cell r="T46"/>
          <cell r="U46"/>
        </row>
        <row r="47">
          <cell r="B47"/>
          <cell r="C47"/>
          <cell r="D47"/>
          <cell r="E47"/>
          <cell r="F47"/>
          <cell r="G47"/>
          <cell r="H47"/>
          <cell r="I47"/>
          <cell r="J47"/>
          <cell r="K47"/>
          <cell r="L47"/>
          <cell r="M47"/>
          <cell r="N47"/>
          <cell r="O47"/>
          <cell r="P47">
            <v>0.4</v>
          </cell>
          <cell r="Q47"/>
          <cell r="R47"/>
          <cell r="S47"/>
          <cell r="T47"/>
          <cell r="U47"/>
        </row>
        <row r="48">
          <cell r="B48"/>
          <cell r="C48"/>
          <cell r="D48"/>
          <cell r="E48"/>
          <cell r="F48"/>
          <cell r="G48"/>
          <cell r="H48"/>
          <cell r="I48"/>
          <cell r="J48"/>
          <cell r="K48"/>
          <cell r="L48"/>
          <cell r="M48"/>
          <cell r="N48"/>
          <cell r="O48"/>
          <cell r="P48">
            <v>0.4</v>
          </cell>
          <cell r="Q48"/>
          <cell r="R48"/>
          <cell r="S48"/>
          <cell r="T48"/>
          <cell r="U48"/>
        </row>
        <row r="49">
          <cell r="B49"/>
          <cell r="C49"/>
          <cell r="D49"/>
          <cell r="E49"/>
          <cell r="F49"/>
          <cell r="G49"/>
          <cell r="H49"/>
          <cell r="I49"/>
          <cell r="J49"/>
          <cell r="K49"/>
          <cell r="L49"/>
          <cell r="M49"/>
          <cell r="N49"/>
          <cell r="O49"/>
          <cell r="P49"/>
          <cell r="Q49"/>
          <cell r="R49"/>
          <cell r="S49"/>
          <cell r="T49"/>
          <cell r="U49"/>
        </row>
        <row r="50">
          <cell r="B50"/>
          <cell r="C50"/>
          <cell r="D50"/>
          <cell r="E50"/>
          <cell r="F50"/>
          <cell r="G50"/>
          <cell r="H50"/>
          <cell r="I50"/>
          <cell r="J50"/>
          <cell r="K50"/>
          <cell r="L50"/>
          <cell r="M50"/>
          <cell r="N50"/>
          <cell r="O50"/>
          <cell r="P50"/>
          <cell r="Q50"/>
          <cell r="R50"/>
          <cell r="S50"/>
          <cell r="T50"/>
          <cell r="U50"/>
        </row>
      </sheetData>
      <sheetData sheetId="2"/>
      <sheetData sheetId="3"/>
      <sheetData sheetId="4"/>
      <sheetData sheetId="5"/>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H" displayName="TH" ref="A12:J51" totalsRowShown="0" headerRowDxfId="14" dataDxfId="12" headerRowBorderDxfId="13" tableBorderDxfId="11" totalsRowBorderDxfId="10" headerRowCellStyle="Normal 3">
  <autoFilter ref="A12:J51" xr:uid="{00000000-0009-0000-0100-000001000000}"/>
  <tableColumns count="10">
    <tableColumn id="1" xr3:uid="{00000000-0010-0000-0000-000001000000}" name="No." dataDxfId="9"/>
    <tableColumn id="2" xr3:uid="{00000000-0010-0000-0000-000002000000}" name="A.M" dataDxfId="8"/>
    <tableColumn id="3" xr3:uid="{00000000-0010-0000-0000-000003000000}" name="Customer" dataDxfId="7"/>
    <tableColumn id="4" xr3:uid="{00000000-0010-0000-0000-000004000000}" name="BOM" dataDxfId="6"/>
    <tableColumn id="5" xr3:uid="{00000000-0010-0000-0000-000005000000}" name="Q'ty" dataDxfId="5"/>
    <tableColumn id="6" xr3:uid="{00000000-0010-0000-0000-000006000000}" name="Volume (LP)" dataDxfId="4"/>
    <tableColumn id="7" xr3:uid="{00000000-0010-0000-0000-000007000000}" name="Type" dataDxfId="3"/>
    <tableColumn id="8" xr3:uid="{00000000-0010-0000-0000-000008000000}" name="Timeline" dataDxfId="2"/>
    <tableColumn id="9" xr3:uid="{00000000-0010-0000-0000-000009000000}" name="Status " dataDxfId="1"/>
    <tableColumn id="10" xr3:uid="{00000000-0010-0000-0000-00000A000000}"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abSelected="1" workbookViewId="0">
      <selection activeCell="A22" sqref="A22:XFD22"/>
    </sheetView>
  </sheetViews>
  <sheetFormatPr defaultColWidth="8.85546875" defaultRowHeight="15" x14ac:dyDescent="0.25"/>
  <cols>
    <col min="1" max="1" width="10.7109375" style="2" customWidth="1"/>
    <col min="2" max="2" width="16.140625" style="2" customWidth="1"/>
    <col min="3" max="3" width="27.7109375" style="3" customWidth="1"/>
    <col min="4" max="4" width="22.5703125" style="4" bestFit="1" customWidth="1"/>
    <col min="5" max="5" width="10.28515625" style="3" customWidth="1"/>
    <col min="6" max="6" width="17.7109375" style="3" customWidth="1"/>
    <col min="7" max="7" width="12.7109375" style="4" customWidth="1"/>
    <col min="8" max="8" width="11.85546875" style="2" bestFit="1" customWidth="1"/>
    <col min="9" max="9" width="16.7109375" style="4" customWidth="1"/>
    <col min="10" max="10" width="38.5703125" style="4" bestFit="1" customWidth="1"/>
    <col min="11" max="256" width="8.85546875" style="4"/>
    <col min="257" max="257" width="10.7109375" style="4" customWidth="1"/>
    <col min="258" max="258" width="16.140625" style="4" customWidth="1"/>
    <col min="259" max="259" width="51.42578125" style="4" bestFit="1" customWidth="1"/>
    <col min="260" max="260" width="22.5703125" style="4" bestFit="1" customWidth="1"/>
    <col min="261" max="261" width="10.28515625" style="4" customWidth="1"/>
    <col min="262" max="262" width="15" style="4" customWidth="1"/>
    <col min="263" max="263" width="12.7109375" style="4" customWidth="1"/>
    <col min="264" max="264" width="11.85546875" style="4" bestFit="1" customWidth="1"/>
    <col min="265" max="265" width="16.7109375" style="4" customWidth="1"/>
    <col min="266" max="266" width="38.5703125" style="4" bestFit="1" customWidth="1"/>
    <col min="267" max="512" width="8.85546875" style="4"/>
    <col min="513" max="513" width="10.7109375" style="4" customWidth="1"/>
    <col min="514" max="514" width="16.140625" style="4" customWidth="1"/>
    <col min="515" max="515" width="51.42578125" style="4" bestFit="1" customWidth="1"/>
    <col min="516" max="516" width="22.5703125" style="4" bestFit="1" customWidth="1"/>
    <col min="517" max="517" width="10.28515625" style="4" customWidth="1"/>
    <col min="518" max="518" width="15" style="4" customWidth="1"/>
    <col min="519" max="519" width="12.7109375" style="4" customWidth="1"/>
    <col min="520" max="520" width="11.85546875" style="4" bestFit="1" customWidth="1"/>
    <col min="521" max="521" width="16.7109375" style="4" customWidth="1"/>
    <col min="522" max="522" width="38.5703125" style="4" bestFit="1" customWidth="1"/>
    <col min="523" max="768" width="8.85546875" style="4"/>
    <col min="769" max="769" width="10.7109375" style="4" customWidth="1"/>
    <col min="770" max="770" width="16.140625" style="4" customWidth="1"/>
    <col min="771" max="771" width="51.42578125" style="4" bestFit="1" customWidth="1"/>
    <col min="772" max="772" width="22.5703125" style="4" bestFit="1" customWidth="1"/>
    <col min="773" max="773" width="10.28515625" style="4" customWidth="1"/>
    <col min="774" max="774" width="15" style="4" customWidth="1"/>
    <col min="775" max="775" width="12.7109375" style="4" customWidth="1"/>
    <col min="776" max="776" width="11.85546875" style="4" bestFit="1" customWidth="1"/>
    <col min="777" max="777" width="16.7109375" style="4" customWidth="1"/>
    <col min="778" max="778" width="38.5703125" style="4" bestFit="1" customWidth="1"/>
    <col min="779" max="1024" width="8.85546875" style="4"/>
    <col min="1025" max="1025" width="10.7109375" style="4" customWidth="1"/>
    <col min="1026" max="1026" width="16.140625" style="4" customWidth="1"/>
    <col min="1027" max="1027" width="51.42578125" style="4" bestFit="1" customWidth="1"/>
    <col min="1028" max="1028" width="22.5703125" style="4" bestFit="1" customWidth="1"/>
    <col min="1029" max="1029" width="10.28515625" style="4" customWidth="1"/>
    <col min="1030" max="1030" width="15" style="4" customWidth="1"/>
    <col min="1031" max="1031" width="12.7109375" style="4" customWidth="1"/>
    <col min="1032" max="1032" width="11.85546875" style="4" bestFit="1" customWidth="1"/>
    <col min="1033" max="1033" width="16.7109375" style="4" customWidth="1"/>
    <col min="1034" max="1034" width="38.5703125" style="4" bestFit="1" customWidth="1"/>
    <col min="1035" max="1280" width="8.85546875" style="4"/>
    <col min="1281" max="1281" width="10.7109375" style="4" customWidth="1"/>
    <col min="1282" max="1282" width="16.140625" style="4" customWidth="1"/>
    <col min="1283" max="1283" width="51.42578125" style="4" bestFit="1" customWidth="1"/>
    <col min="1284" max="1284" width="22.5703125" style="4" bestFit="1" customWidth="1"/>
    <col min="1285" max="1285" width="10.28515625" style="4" customWidth="1"/>
    <col min="1286" max="1286" width="15" style="4" customWidth="1"/>
    <col min="1287" max="1287" width="12.7109375" style="4" customWidth="1"/>
    <col min="1288" max="1288" width="11.85546875" style="4" bestFit="1" customWidth="1"/>
    <col min="1289" max="1289" width="16.7109375" style="4" customWidth="1"/>
    <col min="1290" max="1290" width="38.5703125" style="4" bestFit="1" customWidth="1"/>
    <col min="1291" max="1536" width="8.85546875" style="4"/>
    <col min="1537" max="1537" width="10.7109375" style="4" customWidth="1"/>
    <col min="1538" max="1538" width="16.140625" style="4" customWidth="1"/>
    <col min="1539" max="1539" width="51.42578125" style="4" bestFit="1" customWidth="1"/>
    <col min="1540" max="1540" width="22.5703125" style="4" bestFit="1" customWidth="1"/>
    <col min="1541" max="1541" width="10.28515625" style="4" customWidth="1"/>
    <col min="1542" max="1542" width="15" style="4" customWidth="1"/>
    <col min="1543" max="1543" width="12.7109375" style="4" customWidth="1"/>
    <col min="1544" max="1544" width="11.85546875" style="4" bestFit="1" customWidth="1"/>
    <col min="1545" max="1545" width="16.7109375" style="4" customWidth="1"/>
    <col min="1546" max="1546" width="38.5703125" style="4" bestFit="1" customWidth="1"/>
    <col min="1547" max="1792" width="8.85546875" style="4"/>
    <col min="1793" max="1793" width="10.7109375" style="4" customWidth="1"/>
    <col min="1794" max="1794" width="16.140625" style="4" customWidth="1"/>
    <col min="1795" max="1795" width="51.42578125" style="4" bestFit="1" customWidth="1"/>
    <col min="1796" max="1796" width="22.5703125" style="4" bestFit="1" customWidth="1"/>
    <col min="1797" max="1797" width="10.28515625" style="4" customWidth="1"/>
    <col min="1798" max="1798" width="15" style="4" customWidth="1"/>
    <col min="1799" max="1799" width="12.7109375" style="4" customWidth="1"/>
    <col min="1800" max="1800" width="11.85546875" style="4" bestFit="1" customWidth="1"/>
    <col min="1801" max="1801" width="16.7109375" style="4" customWidth="1"/>
    <col min="1802" max="1802" width="38.5703125" style="4" bestFit="1" customWidth="1"/>
    <col min="1803" max="2048" width="8.85546875" style="4"/>
    <col min="2049" max="2049" width="10.7109375" style="4" customWidth="1"/>
    <col min="2050" max="2050" width="16.140625" style="4" customWidth="1"/>
    <col min="2051" max="2051" width="51.42578125" style="4" bestFit="1" customWidth="1"/>
    <col min="2052" max="2052" width="22.5703125" style="4" bestFit="1" customWidth="1"/>
    <col min="2053" max="2053" width="10.28515625" style="4" customWidth="1"/>
    <col min="2054" max="2054" width="15" style="4" customWidth="1"/>
    <col min="2055" max="2055" width="12.7109375" style="4" customWidth="1"/>
    <col min="2056" max="2056" width="11.85546875" style="4" bestFit="1" customWidth="1"/>
    <col min="2057" max="2057" width="16.7109375" style="4" customWidth="1"/>
    <col min="2058" max="2058" width="38.5703125" style="4" bestFit="1" customWidth="1"/>
    <col min="2059" max="2304" width="8.85546875" style="4"/>
    <col min="2305" max="2305" width="10.7109375" style="4" customWidth="1"/>
    <col min="2306" max="2306" width="16.140625" style="4" customWidth="1"/>
    <col min="2307" max="2307" width="51.42578125" style="4" bestFit="1" customWidth="1"/>
    <col min="2308" max="2308" width="22.5703125" style="4" bestFit="1" customWidth="1"/>
    <col min="2309" max="2309" width="10.28515625" style="4" customWidth="1"/>
    <col min="2310" max="2310" width="15" style="4" customWidth="1"/>
    <col min="2311" max="2311" width="12.7109375" style="4" customWidth="1"/>
    <col min="2312" max="2312" width="11.85546875" style="4" bestFit="1" customWidth="1"/>
    <col min="2313" max="2313" width="16.7109375" style="4" customWidth="1"/>
    <col min="2314" max="2314" width="38.5703125" style="4" bestFit="1" customWidth="1"/>
    <col min="2315" max="2560" width="8.85546875" style="4"/>
    <col min="2561" max="2561" width="10.7109375" style="4" customWidth="1"/>
    <col min="2562" max="2562" width="16.140625" style="4" customWidth="1"/>
    <col min="2563" max="2563" width="51.42578125" style="4" bestFit="1" customWidth="1"/>
    <col min="2564" max="2564" width="22.5703125" style="4" bestFit="1" customWidth="1"/>
    <col min="2565" max="2565" width="10.28515625" style="4" customWidth="1"/>
    <col min="2566" max="2566" width="15" style="4" customWidth="1"/>
    <col min="2567" max="2567" width="12.7109375" style="4" customWidth="1"/>
    <col min="2568" max="2568" width="11.85546875" style="4" bestFit="1" customWidth="1"/>
    <col min="2569" max="2569" width="16.7109375" style="4" customWidth="1"/>
    <col min="2570" max="2570" width="38.5703125" style="4" bestFit="1" customWidth="1"/>
    <col min="2571" max="2816" width="8.85546875" style="4"/>
    <col min="2817" max="2817" width="10.7109375" style="4" customWidth="1"/>
    <col min="2818" max="2818" width="16.140625" style="4" customWidth="1"/>
    <col min="2819" max="2819" width="51.42578125" style="4" bestFit="1" customWidth="1"/>
    <col min="2820" max="2820" width="22.5703125" style="4" bestFit="1" customWidth="1"/>
    <col min="2821" max="2821" width="10.28515625" style="4" customWidth="1"/>
    <col min="2822" max="2822" width="15" style="4" customWidth="1"/>
    <col min="2823" max="2823" width="12.7109375" style="4" customWidth="1"/>
    <col min="2824" max="2824" width="11.85546875" style="4" bestFit="1" customWidth="1"/>
    <col min="2825" max="2825" width="16.7109375" style="4" customWidth="1"/>
    <col min="2826" max="2826" width="38.5703125" style="4" bestFit="1" customWidth="1"/>
    <col min="2827" max="3072" width="8.85546875" style="4"/>
    <col min="3073" max="3073" width="10.7109375" style="4" customWidth="1"/>
    <col min="3074" max="3074" width="16.140625" style="4" customWidth="1"/>
    <col min="3075" max="3075" width="51.42578125" style="4" bestFit="1" customWidth="1"/>
    <col min="3076" max="3076" width="22.5703125" style="4" bestFit="1" customWidth="1"/>
    <col min="3077" max="3077" width="10.28515625" style="4" customWidth="1"/>
    <col min="3078" max="3078" width="15" style="4" customWidth="1"/>
    <col min="3079" max="3079" width="12.7109375" style="4" customWidth="1"/>
    <col min="3080" max="3080" width="11.85546875" style="4" bestFit="1" customWidth="1"/>
    <col min="3081" max="3081" width="16.7109375" style="4" customWidth="1"/>
    <col min="3082" max="3082" width="38.5703125" style="4" bestFit="1" customWidth="1"/>
    <col min="3083" max="3328" width="8.85546875" style="4"/>
    <col min="3329" max="3329" width="10.7109375" style="4" customWidth="1"/>
    <col min="3330" max="3330" width="16.140625" style="4" customWidth="1"/>
    <col min="3331" max="3331" width="51.42578125" style="4" bestFit="1" customWidth="1"/>
    <col min="3332" max="3332" width="22.5703125" style="4" bestFit="1" customWidth="1"/>
    <col min="3333" max="3333" width="10.28515625" style="4" customWidth="1"/>
    <col min="3334" max="3334" width="15" style="4" customWidth="1"/>
    <col min="3335" max="3335" width="12.7109375" style="4" customWidth="1"/>
    <col min="3336" max="3336" width="11.85546875" style="4" bestFit="1" customWidth="1"/>
    <col min="3337" max="3337" width="16.7109375" style="4" customWidth="1"/>
    <col min="3338" max="3338" width="38.5703125" style="4" bestFit="1" customWidth="1"/>
    <col min="3339" max="3584" width="8.85546875" style="4"/>
    <col min="3585" max="3585" width="10.7109375" style="4" customWidth="1"/>
    <col min="3586" max="3586" width="16.140625" style="4" customWidth="1"/>
    <col min="3587" max="3587" width="51.42578125" style="4" bestFit="1" customWidth="1"/>
    <col min="3588" max="3588" width="22.5703125" style="4" bestFit="1" customWidth="1"/>
    <col min="3589" max="3589" width="10.28515625" style="4" customWidth="1"/>
    <col min="3590" max="3590" width="15" style="4" customWidth="1"/>
    <col min="3591" max="3591" width="12.7109375" style="4" customWidth="1"/>
    <col min="3592" max="3592" width="11.85546875" style="4" bestFit="1" customWidth="1"/>
    <col min="3593" max="3593" width="16.7109375" style="4" customWidth="1"/>
    <col min="3594" max="3594" width="38.5703125" style="4" bestFit="1" customWidth="1"/>
    <col min="3595" max="3840" width="8.85546875" style="4"/>
    <col min="3841" max="3841" width="10.7109375" style="4" customWidth="1"/>
    <col min="3842" max="3842" width="16.140625" style="4" customWidth="1"/>
    <col min="3843" max="3843" width="51.42578125" style="4" bestFit="1" customWidth="1"/>
    <col min="3844" max="3844" width="22.5703125" style="4" bestFit="1" customWidth="1"/>
    <col min="3845" max="3845" width="10.28515625" style="4" customWidth="1"/>
    <col min="3846" max="3846" width="15" style="4" customWidth="1"/>
    <col min="3847" max="3847" width="12.7109375" style="4" customWidth="1"/>
    <col min="3848" max="3848" width="11.85546875" style="4" bestFit="1" customWidth="1"/>
    <col min="3849" max="3849" width="16.7109375" style="4" customWidth="1"/>
    <col min="3850" max="3850" width="38.5703125" style="4" bestFit="1" customWidth="1"/>
    <col min="3851" max="4096" width="8.85546875" style="4"/>
    <col min="4097" max="4097" width="10.7109375" style="4" customWidth="1"/>
    <col min="4098" max="4098" width="16.140625" style="4" customWidth="1"/>
    <col min="4099" max="4099" width="51.42578125" style="4" bestFit="1" customWidth="1"/>
    <col min="4100" max="4100" width="22.5703125" style="4" bestFit="1" customWidth="1"/>
    <col min="4101" max="4101" width="10.28515625" style="4" customWidth="1"/>
    <col min="4102" max="4102" width="15" style="4" customWidth="1"/>
    <col min="4103" max="4103" width="12.7109375" style="4" customWidth="1"/>
    <col min="4104" max="4104" width="11.85546875" style="4" bestFit="1" customWidth="1"/>
    <col min="4105" max="4105" width="16.7109375" style="4" customWidth="1"/>
    <col min="4106" max="4106" width="38.5703125" style="4" bestFit="1" customWidth="1"/>
    <col min="4107" max="4352" width="8.85546875" style="4"/>
    <col min="4353" max="4353" width="10.7109375" style="4" customWidth="1"/>
    <col min="4354" max="4354" width="16.140625" style="4" customWidth="1"/>
    <col min="4355" max="4355" width="51.42578125" style="4" bestFit="1" customWidth="1"/>
    <col min="4356" max="4356" width="22.5703125" style="4" bestFit="1" customWidth="1"/>
    <col min="4357" max="4357" width="10.28515625" style="4" customWidth="1"/>
    <col min="4358" max="4358" width="15" style="4" customWidth="1"/>
    <col min="4359" max="4359" width="12.7109375" style="4" customWidth="1"/>
    <col min="4360" max="4360" width="11.85546875" style="4" bestFit="1" customWidth="1"/>
    <col min="4361" max="4361" width="16.7109375" style="4" customWidth="1"/>
    <col min="4362" max="4362" width="38.5703125" style="4" bestFit="1" customWidth="1"/>
    <col min="4363" max="4608" width="8.85546875" style="4"/>
    <col min="4609" max="4609" width="10.7109375" style="4" customWidth="1"/>
    <col min="4610" max="4610" width="16.140625" style="4" customWidth="1"/>
    <col min="4611" max="4611" width="51.42578125" style="4" bestFit="1" customWidth="1"/>
    <col min="4612" max="4612" width="22.5703125" style="4" bestFit="1" customWidth="1"/>
    <col min="4613" max="4613" width="10.28515625" style="4" customWidth="1"/>
    <col min="4614" max="4614" width="15" style="4" customWidth="1"/>
    <col min="4615" max="4615" width="12.7109375" style="4" customWidth="1"/>
    <col min="4616" max="4616" width="11.85546875" style="4" bestFit="1" customWidth="1"/>
    <col min="4617" max="4617" width="16.7109375" style="4" customWidth="1"/>
    <col min="4618" max="4618" width="38.5703125" style="4" bestFit="1" customWidth="1"/>
    <col min="4619" max="4864" width="8.85546875" style="4"/>
    <col min="4865" max="4865" width="10.7109375" style="4" customWidth="1"/>
    <col min="4866" max="4866" width="16.140625" style="4" customWidth="1"/>
    <col min="4867" max="4867" width="51.42578125" style="4" bestFit="1" customWidth="1"/>
    <col min="4868" max="4868" width="22.5703125" style="4" bestFit="1" customWidth="1"/>
    <col min="4869" max="4869" width="10.28515625" style="4" customWidth="1"/>
    <col min="4870" max="4870" width="15" style="4" customWidth="1"/>
    <col min="4871" max="4871" width="12.7109375" style="4" customWidth="1"/>
    <col min="4872" max="4872" width="11.85546875" style="4" bestFit="1" customWidth="1"/>
    <col min="4873" max="4873" width="16.7109375" style="4" customWidth="1"/>
    <col min="4874" max="4874" width="38.5703125" style="4" bestFit="1" customWidth="1"/>
    <col min="4875" max="5120" width="8.85546875" style="4"/>
    <col min="5121" max="5121" width="10.7109375" style="4" customWidth="1"/>
    <col min="5122" max="5122" width="16.140625" style="4" customWidth="1"/>
    <col min="5123" max="5123" width="51.42578125" style="4" bestFit="1" customWidth="1"/>
    <col min="5124" max="5124" width="22.5703125" style="4" bestFit="1" customWidth="1"/>
    <col min="5125" max="5125" width="10.28515625" style="4" customWidth="1"/>
    <col min="5126" max="5126" width="15" style="4" customWidth="1"/>
    <col min="5127" max="5127" width="12.7109375" style="4" customWidth="1"/>
    <col min="5128" max="5128" width="11.85546875" style="4" bestFit="1" customWidth="1"/>
    <col min="5129" max="5129" width="16.7109375" style="4" customWidth="1"/>
    <col min="5130" max="5130" width="38.5703125" style="4" bestFit="1" customWidth="1"/>
    <col min="5131" max="5376" width="8.85546875" style="4"/>
    <col min="5377" max="5377" width="10.7109375" style="4" customWidth="1"/>
    <col min="5378" max="5378" width="16.140625" style="4" customWidth="1"/>
    <col min="5379" max="5379" width="51.42578125" style="4" bestFit="1" customWidth="1"/>
    <col min="5380" max="5380" width="22.5703125" style="4" bestFit="1" customWidth="1"/>
    <col min="5381" max="5381" width="10.28515625" style="4" customWidth="1"/>
    <col min="5382" max="5382" width="15" style="4" customWidth="1"/>
    <col min="5383" max="5383" width="12.7109375" style="4" customWidth="1"/>
    <col min="5384" max="5384" width="11.85546875" style="4" bestFit="1" customWidth="1"/>
    <col min="5385" max="5385" width="16.7109375" style="4" customWidth="1"/>
    <col min="5386" max="5386" width="38.5703125" style="4" bestFit="1" customWidth="1"/>
    <col min="5387" max="5632" width="8.85546875" style="4"/>
    <col min="5633" max="5633" width="10.7109375" style="4" customWidth="1"/>
    <col min="5634" max="5634" width="16.140625" style="4" customWidth="1"/>
    <col min="5635" max="5635" width="51.42578125" style="4" bestFit="1" customWidth="1"/>
    <col min="5636" max="5636" width="22.5703125" style="4" bestFit="1" customWidth="1"/>
    <col min="5637" max="5637" width="10.28515625" style="4" customWidth="1"/>
    <col min="5638" max="5638" width="15" style="4" customWidth="1"/>
    <col min="5639" max="5639" width="12.7109375" style="4" customWidth="1"/>
    <col min="5640" max="5640" width="11.85546875" style="4" bestFit="1" customWidth="1"/>
    <col min="5641" max="5641" width="16.7109375" style="4" customWidth="1"/>
    <col min="5642" max="5642" width="38.5703125" style="4" bestFit="1" customWidth="1"/>
    <col min="5643" max="5888" width="8.85546875" style="4"/>
    <col min="5889" max="5889" width="10.7109375" style="4" customWidth="1"/>
    <col min="5890" max="5890" width="16.140625" style="4" customWidth="1"/>
    <col min="5891" max="5891" width="51.42578125" style="4" bestFit="1" customWidth="1"/>
    <col min="5892" max="5892" width="22.5703125" style="4" bestFit="1" customWidth="1"/>
    <col min="5893" max="5893" width="10.28515625" style="4" customWidth="1"/>
    <col min="5894" max="5894" width="15" style="4" customWidth="1"/>
    <col min="5895" max="5895" width="12.7109375" style="4" customWidth="1"/>
    <col min="5896" max="5896" width="11.85546875" style="4" bestFit="1" customWidth="1"/>
    <col min="5897" max="5897" width="16.7109375" style="4" customWidth="1"/>
    <col min="5898" max="5898" width="38.5703125" style="4" bestFit="1" customWidth="1"/>
    <col min="5899" max="6144" width="8.85546875" style="4"/>
    <col min="6145" max="6145" width="10.7109375" style="4" customWidth="1"/>
    <col min="6146" max="6146" width="16.140625" style="4" customWidth="1"/>
    <col min="6147" max="6147" width="51.42578125" style="4" bestFit="1" customWidth="1"/>
    <col min="6148" max="6148" width="22.5703125" style="4" bestFit="1" customWidth="1"/>
    <col min="6149" max="6149" width="10.28515625" style="4" customWidth="1"/>
    <col min="6150" max="6150" width="15" style="4" customWidth="1"/>
    <col min="6151" max="6151" width="12.7109375" style="4" customWidth="1"/>
    <col min="6152" max="6152" width="11.85546875" style="4" bestFit="1" customWidth="1"/>
    <col min="6153" max="6153" width="16.7109375" style="4" customWidth="1"/>
    <col min="6154" max="6154" width="38.5703125" style="4" bestFit="1" customWidth="1"/>
    <col min="6155" max="6400" width="8.85546875" style="4"/>
    <col min="6401" max="6401" width="10.7109375" style="4" customWidth="1"/>
    <col min="6402" max="6402" width="16.140625" style="4" customWidth="1"/>
    <col min="6403" max="6403" width="51.42578125" style="4" bestFit="1" customWidth="1"/>
    <col min="6404" max="6404" width="22.5703125" style="4" bestFit="1" customWidth="1"/>
    <col min="6405" max="6405" width="10.28515625" style="4" customWidth="1"/>
    <col min="6406" max="6406" width="15" style="4" customWidth="1"/>
    <col min="6407" max="6407" width="12.7109375" style="4" customWidth="1"/>
    <col min="6408" max="6408" width="11.85546875" style="4" bestFit="1" customWidth="1"/>
    <col min="6409" max="6409" width="16.7109375" style="4" customWidth="1"/>
    <col min="6410" max="6410" width="38.5703125" style="4" bestFit="1" customWidth="1"/>
    <col min="6411" max="6656" width="8.85546875" style="4"/>
    <col min="6657" max="6657" width="10.7109375" style="4" customWidth="1"/>
    <col min="6658" max="6658" width="16.140625" style="4" customWidth="1"/>
    <col min="6659" max="6659" width="51.42578125" style="4" bestFit="1" customWidth="1"/>
    <col min="6660" max="6660" width="22.5703125" style="4" bestFit="1" customWidth="1"/>
    <col min="6661" max="6661" width="10.28515625" style="4" customWidth="1"/>
    <col min="6662" max="6662" width="15" style="4" customWidth="1"/>
    <col min="6663" max="6663" width="12.7109375" style="4" customWidth="1"/>
    <col min="6664" max="6664" width="11.85546875" style="4" bestFit="1" customWidth="1"/>
    <col min="6665" max="6665" width="16.7109375" style="4" customWidth="1"/>
    <col min="6666" max="6666" width="38.5703125" style="4" bestFit="1" customWidth="1"/>
    <col min="6667" max="6912" width="8.85546875" style="4"/>
    <col min="6913" max="6913" width="10.7109375" style="4" customWidth="1"/>
    <col min="6914" max="6914" width="16.140625" style="4" customWidth="1"/>
    <col min="6915" max="6915" width="51.42578125" style="4" bestFit="1" customWidth="1"/>
    <col min="6916" max="6916" width="22.5703125" style="4" bestFit="1" customWidth="1"/>
    <col min="6917" max="6917" width="10.28515625" style="4" customWidth="1"/>
    <col min="6918" max="6918" width="15" style="4" customWidth="1"/>
    <col min="6919" max="6919" width="12.7109375" style="4" customWidth="1"/>
    <col min="6920" max="6920" width="11.85546875" style="4" bestFit="1" customWidth="1"/>
    <col min="6921" max="6921" width="16.7109375" style="4" customWidth="1"/>
    <col min="6922" max="6922" width="38.5703125" style="4" bestFit="1" customWidth="1"/>
    <col min="6923" max="7168" width="8.85546875" style="4"/>
    <col min="7169" max="7169" width="10.7109375" style="4" customWidth="1"/>
    <col min="7170" max="7170" width="16.140625" style="4" customWidth="1"/>
    <col min="7171" max="7171" width="51.42578125" style="4" bestFit="1" customWidth="1"/>
    <col min="7172" max="7172" width="22.5703125" style="4" bestFit="1" customWidth="1"/>
    <col min="7173" max="7173" width="10.28515625" style="4" customWidth="1"/>
    <col min="7174" max="7174" width="15" style="4" customWidth="1"/>
    <col min="7175" max="7175" width="12.7109375" style="4" customWidth="1"/>
    <col min="7176" max="7176" width="11.85546875" style="4" bestFit="1" customWidth="1"/>
    <col min="7177" max="7177" width="16.7109375" style="4" customWidth="1"/>
    <col min="7178" max="7178" width="38.5703125" style="4" bestFit="1" customWidth="1"/>
    <col min="7179" max="7424" width="8.85546875" style="4"/>
    <col min="7425" max="7425" width="10.7109375" style="4" customWidth="1"/>
    <col min="7426" max="7426" width="16.140625" style="4" customWidth="1"/>
    <col min="7427" max="7427" width="51.42578125" style="4" bestFit="1" customWidth="1"/>
    <col min="7428" max="7428" width="22.5703125" style="4" bestFit="1" customWidth="1"/>
    <col min="7429" max="7429" width="10.28515625" style="4" customWidth="1"/>
    <col min="7430" max="7430" width="15" style="4" customWidth="1"/>
    <col min="7431" max="7431" width="12.7109375" style="4" customWidth="1"/>
    <col min="7432" max="7432" width="11.85546875" style="4" bestFit="1" customWidth="1"/>
    <col min="7433" max="7433" width="16.7109375" style="4" customWidth="1"/>
    <col min="7434" max="7434" width="38.5703125" style="4" bestFit="1" customWidth="1"/>
    <col min="7435" max="7680" width="8.85546875" style="4"/>
    <col min="7681" max="7681" width="10.7109375" style="4" customWidth="1"/>
    <col min="7682" max="7682" width="16.140625" style="4" customWidth="1"/>
    <col min="7683" max="7683" width="51.42578125" style="4" bestFit="1" customWidth="1"/>
    <col min="7684" max="7684" width="22.5703125" style="4" bestFit="1" customWidth="1"/>
    <col min="7685" max="7685" width="10.28515625" style="4" customWidth="1"/>
    <col min="7686" max="7686" width="15" style="4" customWidth="1"/>
    <col min="7687" max="7687" width="12.7109375" style="4" customWidth="1"/>
    <col min="7688" max="7688" width="11.85546875" style="4" bestFit="1" customWidth="1"/>
    <col min="7689" max="7689" width="16.7109375" style="4" customWidth="1"/>
    <col min="7690" max="7690" width="38.5703125" style="4" bestFit="1" customWidth="1"/>
    <col min="7691" max="7936" width="8.85546875" style="4"/>
    <col min="7937" max="7937" width="10.7109375" style="4" customWidth="1"/>
    <col min="7938" max="7938" width="16.140625" style="4" customWidth="1"/>
    <col min="7939" max="7939" width="51.42578125" style="4" bestFit="1" customWidth="1"/>
    <col min="7940" max="7940" width="22.5703125" style="4" bestFit="1" customWidth="1"/>
    <col min="7941" max="7941" width="10.28515625" style="4" customWidth="1"/>
    <col min="7942" max="7942" width="15" style="4" customWidth="1"/>
    <col min="7943" max="7943" width="12.7109375" style="4" customWidth="1"/>
    <col min="7944" max="7944" width="11.85546875" style="4" bestFit="1" customWidth="1"/>
    <col min="7945" max="7945" width="16.7109375" style="4" customWidth="1"/>
    <col min="7946" max="7946" width="38.5703125" style="4" bestFit="1" customWidth="1"/>
    <col min="7947" max="8192" width="8.85546875" style="4"/>
    <col min="8193" max="8193" width="10.7109375" style="4" customWidth="1"/>
    <col min="8194" max="8194" width="16.140625" style="4" customWidth="1"/>
    <col min="8195" max="8195" width="51.42578125" style="4" bestFit="1" customWidth="1"/>
    <col min="8196" max="8196" width="22.5703125" style="4" bestFit="1" customWidth="1"/>
    <col min="8197" max="8197" width="10.28515625" style="4" customWidth="1"/>
    <col min="8198" max="8198" width="15" style="4" customWidth="1"/>
    <col min="8199" max="8199" width="12.7109375" style="4" customWidth="1"/>
    <col min="8200" max="8200" width="11.85546875" style="4" bestFit="1" customWidth="1"/>
    <col min="8201" max="8201" width="16.7109375" style="4" customWidth="1"/>
    <col min="8202" max="8202" width="38.5703125" style="4" bestFit="1" customWidth="1"/>
    <col min="8203" max="8448" width="8.85546875" style="4"/>
    <col min="8449" max="8449" width="10.7109375" style="4" customWidth="1"/>
    <col min="8450" max="8450" width="16.140625" style="4" customWidth="1"/>
    <col min="8451" max="8451" width="51.42578125" style="4" bestFit="1" customWidth="1"/>
    <col min="8452" max="8452" width="22.5703125" style="4" bestFit="1" customWidth="1"/>
    <col min="8453" max="8453" width="10.28515625" style="4" customWidth="1"/>
    <col min="8454" max="8454" width="15" style="4" customWidth="1"/>
    <col min="8455" max="8455" width="12.7109375" style="4" customWidth="1"/>
    <col min="8456" max="8456" width="11.85546875" style="4" bestFit="1" customWidth="1"/>
    <col min="8457" max="8457" width="16.7109375" style="4" customWidth="1"/>
    <col min="8458" max="8458" width="38.5703125" style="4" bestFit="1" customWidth="1"/>
    <col min="8459" max="8704" width="8.85546875" style="4"/>
    <col min="8705" max="8705" width="10.7109375" style="4" customWidth="1"/>
    <col min="8706" max="8706" width="16.140625" style="4" customWidth="1"/>
    <col min="8707" max="8707" width="51.42578125" style="4" bestFit="1" customWidth="1"/>
    <col min="8708" max="8708" width="22.5703125" style="4" bestFit="1" customWidth="1"/>
    <col min="8709" max="8709" width="10.28515625" style="4" customWidth="1"/>
    <col min="8710" max="8710" width="15" style="4" customWidth="1"/>
    <col min="8711" max="8711" width="12.7109375" style="4" customWidth="1"/>
    <col min="8712" max="8712" width="11.85546875" style="4" bestFit="1" customWidth="1"/>
    <col min="8713" max="8713" width="16.7109375" style="4" customWidth="1"/>
    <col min="8714" max="8714" width="38.5703125" style="4" bestFit="1" customWidth="1"/>
    <col min="8715" max="8960" width="8.85546875" style="4"/>
    <col min="8961" max="8961" width="10.7109375" style="4" customWidth="1"/>
    <col min="8962" max="8962" width="16.140625" style="4" customWidth="1"/>
    <col min="8963" max="8963" width="51.42578125" style="4" bestFit="1" customWidth="1"/>
    <col min="8964" max="8964" width="22.5703125" style="4" bestFit="1" customWidth="1"/>
    <col min="8965" max="8965" width="10.28515625" style="4" customWidth="1"/>
    <col min="8966" max="8966" width="15" style="4" customWidth="1"/>
    <col min="8967" max="8967" width="12.7109375" style="4" customWidth="1"/>
    <col min="8968" max="8968" width="11.85546875" style="4" bestFit="1" customWidth="1"/>
    <col min="8969" max="8969" width="16.7109375" style="4" customWidth="1"/>
    <col min="8970" max="8970" width="38.5703125" style="4" bestFit="1" customWidth="1"/>
    <col min="8971" max="9216" width="8.85546875" style="4"/>
    <col min="9217" max="9217" width="10.7109375" style="4" customWidth="1"/>
    <col min="9218" max="9218" width="16.140625" style="4" customWidth="1"/>
    <col min="9219" max="9219" width="51.42578125" style="4" bestFit="1" customWidth="1"/>
    <col min="9220" max="9220" width="22.5703125" style="4" bestFit="1" customWidth="1"/>
    <col min="9221" max="9221" width="10.28515625" style="4" customWidth="1"/>
    <col min="9222" max="9222" width="15" style="4" customWidth="1"/>
    <col min="9223" max="9223" width="12.7109375" style="4" customWidth="1"/>
    <col min="9224" max="9224" width="11.85546875" style="4" bestFit="1" customWidth="1"/>
    <col min="9225" max="9225" width="16.7109375" style="4" customWidth="1"/>
    <col min="9226" max="9226" width="38.5703125" style="4" bestFit="1" customWidth="1"/>
    <col min="9227" max="9472" width="8.85546875" style="4"/>
    <col min="9473" max="9473" width="10.7109375" style="4" customWidth="1"/>
    <col min="9474" max="9474" width="16.140625" style="4" customWidth="1"/>
    <col min="9475" max="9475" width="51.42578125" style="4" bestFit="1" customWidth="1"/>
    <col min="9476" max="9476" width="22.5703125" style="4" bestFit="1" customWidth="1"/>
    <col min="9477" max="9477" width="10.28515625" style="4" customWidth="1"/>
    <col min="9478" max="9478" width="15" style="4" customWidth="1"/>
    <col min="9479" max="9479" width="12.7109375" style="4" customWidth="1"/>
    <col min="9480" max="9480" width="11.85546875" style="4" bestFit="1" customWidth="1"/>
    <col min="9481" max="9481" width="16.7109375" style="4" customWidth="1"/>
    <col min="9482" max="9482" width="38.5703125" style="4" bestFit="1" customWidth="1"/>
    <col min="9483" max="9728" width="8.85546875" style="4"/>
    <col min="9729" max="9729" width="10.7109375" style="4" customWidth="1"/>
    <col min="9730" max="9730" width="16.140625" style="4" customWidth="1"/>
    <col min="9731" max="9731" width="51.42578125" style="4" bestFit="1" customWidth="1"/>
    <col min="9732" max="9732" width="22.5703125" style="4" bestFit="1" customWidth="1"/>
    <col min="9733" max="9733" width="10.28515625" style="4" customWidth="1"/>
    <col min="9734" max="9734" width="15" style="4" customWidth="1"/>
    <col min="9735" max="9735" width="12.7109375" style="4" customWidth="1"/>
    <col min="9736" max="9736" width="11.85546875" style="4" bestFit="1" customWidth="1"/>
    <col min="9737" max="9737" width="16.7109375" style="4" customWidth="1"/>
    <col min="9738" max="9738" width="38.5703125" style="4" bestFit="1" customWidth="1"/>
    <col min="9739" max="9984" width="8.85546875" style="4"/>
    <col min="9985" max="9985" width="10.7109375" style="4" customWidth="1"/>
    <col min="9986" max="9986" width="16.140625" style="4" customWidth="1"/>
    <col min="9987" max="9987" width="51.42578125" style="4" bestFit="1" customWidth="1"/>
    <col min="9988" max="9988" width="22.5703125" style="4" bestFit="1" customWidth="1"/>
    <col min="9989" max="9989" width="10.28515625" style="4" customWidth="1"/>
    <col min="9990" max="9990" width="15" style="4" customWidth="1"/>
    <col min="9991" max="9991" width="12.7109375" style="4" customWidth="1"/>
    <col min="9992" max="9992" width="11.85546875" style="4" bestFit="1" customWidth="1"/>
    <col min="9993" max="9993" width="16.7109375" style="4" customWidth="1"/>
    <col min="9994" max="9994" width="38.5703125" style="4" bestFit="1" customWidth="1"/>
    <col min="9995" max="10240" width="8.85546875" style="4"/>
    <col min="10241" max="10241" width="10.7109375" style="4" customWidth="1"/>
    <col min="10242" max="10242" width="16.140625" style="4" customWidth="1"/>
    <col min="10243" max="10243" width="51.42578125" style="4" bestFit="1" customWidth="1"/>
    <col min="10244" max="10244" width="22.5703125" style="4" bestFit="1" customWidth="1"/>
    <col min="10245" max="10245" width="10.28515625" style="4" customWidth="1"/>
    <col min="10246" max="10246" width="15" style="4" customWidth="1"/>
    <col min="10247" max="10247" width="12.7109375" style="4" customWidth="1"/>
    <col min="10248" max="10248" width="11.85546875" style="4" bestFit="1" customWidth="1"/>
    <col min="10249" max="10249" width="16.7109375" style="4" customWidth="1"/>
    <col min="10250" max="10250" width="38.5703125" style="4" bestFit="1" customWidth="1"/>
    <col min="10251" max="10496" width="8.85546875" style="4"/>
    <col min="10497" max="10497" width="10.7109375" style="4" customWidth="1"/>
    <col min="10498" max="10498" width="16.140625" style="4" customWidth="1"/>
    <col min="10499" max="10499" width="51.42578125" style="4" bestFit="1" customWidth="1"/>
    <col min="10500" max="10500" width="22.5703125" style="4" bestFit="1" customWidth="1"/>
    <col min="10501" max="10501" width="10.28515625" style="4" customWidth="1"/>
    <col min="10502" max="10502" width="15" style="4" customWidth="1"/>
    <col min="10503" max="10503" width="12.7109375" style="4" customWidth="1"/>
    <col min="10504" max="10504" width="11.85546875" style="4" bestFit="1" customWidth="1"/>
    <col min="10505" max="10505" width="16.7109375" style="4" customWidth="1"/>
    <col min="10506" max="10506" width="38.5703125" style="4" bestFit="1" customWidth="1"/>
    <col min="10507" max="10752" width="8.85546875" style="4"/>
    <col min="10753" max="10753" width="10.7109375" style="4" customWidth="1"/>
    <col min="10754" max="10754" width="16.140625" style="4" customWidth="1"/>
    <col min="10755" max="10755" width="51.42578125" style="4" bestFit="1" customWidth="1"/>
    <col min="10756" max="10756" width="22.5703125" style="4" bestFit="1" customWidth="1"/>
    <col min="10757" max="10757" width="10.28515625" style="4" customWidth="1"/>
    <col min="10758" max="10758" width="15" style="4" customWidth="1"/>
    <col min="10759" max="10759" width="12.7109375" style="4" customWidth="1"/>
    <col min="10760" max="10760" width="11.85546875" style="4" bestFit="1" customWidth="1"/>
    <col min="10761" max="10761" width="16.7109375" style="4" customWidth="1"/>
    <col min="10762" max="10762" width="38.5703125" style="4" bestFit="1" customWidth="1"/>
    <col min="10763" max="11008" width="8.85546875" style="4"/>
    <col min="11009" max="11009" width="10.7109375" style="4" customWidth="1"/>
    <col min="11010" max="11010" width="16.140625" style="4" customWidth="1"/>
    <col min="11011" max="11011" width="51.42578125" style="4" bestFit="1" customWidth="1"/>
    <col min="11012" max="11012" width="22.5703125" style="4" bestFit="1" customWidth="1"/>
    <col min="11013" max="11013" width="10.28515625" style="4" customWidth="1"/>
    <col min="11014" max="11014" width="15" style="4" customWidth="1"/>
    <col min="11015" max="11015" width="12.7109375" style="4" customWidth="1"/>
    <col min="11016" max="11016" width="11.85546875" style="4" bestFit="1" customWidth="1"/>
    <col min="11017" max="11017" width="16.7109375" style="4" customWidth="1"/>
    <col min="11018" max="11018" width="38.5703125" style="4" bestFit="1" customWidth="1"/>
    <col min="11019" max="11264" width="8.85546875" style="4"/>
    <col min="11265" max="11265" width="10.7109375" style="4" customWidth="1"/>
    <col min="11266" max="11266" width="16.140625" style="4" customWidth="1"/>
    <col min="11267" max="11267" width="51.42578125" style="4" bestFit="1" customWidth="1"/>
    <col min="11268" max="11268" width="22.5703125" style="4" bestFit="1" customWidth="1"/>
    <col min="11269" max="11269" width="10.28515625" style="4" customWidth="1"/>
    <col min="11270" max="11270" width="15" style="4" customWidth="1"/>
    <col min="11271" max="11271" width="12.7109375" style="4" customWidth="1"/>
    <col min="11272" max="11272" width="11.85546875" style="4" bestFit="1" customWidth="1"/>
    <col min="11273" max="11273" width="16.7109375" style="4" customWidth="1"/>
    <col min="11274" max="11274" width="38.5703125" style="4" bestFit="1" customWidth="1"/>
    <col min="11275" max="11520" width="8.85546875" style="4"/>
    <col min="11521" max="11521" width="10.7109375" style="4" customWidth="1"/>
    <col min="11522" max="11522" width="16.140625" style="4" customWidth="1"/>
    <col min="11523" max="11523" width="51.42578125" style="4" bestFit="1" customWidth="1"/>
    <col min="11524" max="11524" width="22.5703125" style="4" bestFit="1" customWidth="1"/>
    <col min="11525" max="11525" width="10.28515625" style="4" customWidth="1"/>
    <col min="11526" max="11526" width="15" style="4" customWidth="1"/>
    <col min="11527" max="11527" width="12.7109375" style="4" customWidth="1"/>
    <col min="11528" max="11528" width="11.85546875" style="4" bestFit="1" customWidth="1"/>
    <col min="11529" max="11529" width="16.7109375" style="4" customWidth="1"/>
    <col min="11530" max="11530" width="38.5703125" style="4" bestFit="1" customWidth="1"/>
    <col min="11531" max="11776" width="8.85546875" style="4"/>
    <col min="11777" max="11777" width="10.7109375" style="4" customWidth="1"/>
    <col min="11778" max="11778" width="16.140625" style="4" customWidth="1"/>
    <col min="11779" max="11779" width="51.42578125" style="4" bestFit="1" customWidth="1"/>
    <col min="11780" max="11780" width="22.5703125" style="4" bestFit="1" customWidth="1"/>
    <col min="11781" max="11781" width="10.28515625" style="4" customWidth="1"/>
    <col min="11782" max="11782" width="15" style="4" customWidth="1"/>
    <col min="11783" max="11783" width="12.7109375" style="4" customWidth="1"/>
    <col min="11784" max="11784" width="11.85546875" style="4" bestFit="1" customWidth="1"/>
    <col min="11785" max="11785" width="16.7109375" style="4" customWidth="1"/>
    <col min="11786" max="11786" width="38.5703125" style="4" bestFit="1" customWidth="1"/>
    <col min="11787" max="12032" width="8.85546875" style="4"/>
    <col min="12033" max="12033" width="10.7109375" style="4" customWidth="1"/>
    <col min="12034" max="12034" width="16.140625" style="4" customWidth="1"/>
    <col min="12035" max="12035" width="51.42578125" style="4" bestFit="1" customWidth="1"/>
    <col min="12036" max="12036" width="22.5703125" style="4" bestFit="1" customWidth="1"/>
    <col min="12037" max="12037" width="10.28515625" style="4" customWidth="1"/>
    <col min="12038" max="12038" width="15" style="4" customWidth="1"/>
    <col min="12039" max="12039" width="12.7109375" style="4" customWidth="1"/>
    <col min="12040" max="12040" width="11.85546875" style="4" bestFit="1" customWidth="1"/>
    <col min="12041" max="12041" width="16.7109375" style="4" customWidth="1"/>
    <col min="12042" max="12042" width="38.5703125" style="4" bestFit="1" customWidth="1"/>
    <col min="12043" max="12288" width="8.85546875" style="4"/>
    <col min="12289" max="12289" width="10.7109375" style="4" customWidth="1"/>
    <col min="12290" max="12290" width="16.140625" style="4" customWidth="1"/>
    <col min="12291" max="12291" width="51.42578125" style="4" bestFit="1" customWidth="1"/>
    <col min="12292" max="12292" width="22.5703125" style="4" bestFit="1" customWidth="1"/>
    <col min="12293" max="12293" width="10.28515625" style="4" customWidth="1"/>
    <col min="12294" max="12294" width="15" style="4" customWidth="1"/>
    <col min="12295" max="12295" width="12.7109375" style="4" customWidth="1"/>
    <col min="12296" max="12296" width="11.85546875" style="4" bestFit="1" customWidth="1"/>
    <col min="12297" max="12297" width="16.7109375" style="4" customWidth="1"/>
    <col min="12298" max="12298" width="38.5703125" style="4" bestFit="1" customWidth="1"/>
    <col min="12299" max="12544" width="8.85546875" style="4"/>
    <col min="12545" max="12545" width="10.7109375" style="4" customWidth="1"/>
    <col min="12546" max="12546" width="16.140625" style="4" customWidth="1"/>
    <col min="12547" max="12547" width="51.42578125" style="4" bestFit="1" customWidth="1"/>
    <col min="12548" max="12548" width="22.5703125" style="4" bestFit="1" customWidth="1"/>
    <col min="12549" max="12549" width="10.28515625" style="4" customWidth="1"/>
    <col min="12550" max="12550" width="15" style="4" customWidth="1"/>
    <col min="12551" max="12551" width="12.7109375" style="4" customWidth="1"/>
    <col min="12552" max="12552" width="11.85546875" style="4" bestFit="1" customWidth="1"/>
    <col min="12553" max="12553" width="16.7109375" style="4" customWidth="1"/>
    <col min="12554" max="12554" width="38.5703125" style="4" bestFit="1" customWidth="1"/>
    <col min="12555" max="12800" width="8.85546875" style="4"/>
    <col min="12801" max="12801" width="10.7109375" style="4" customWidth="1"/>
    <col min="12802" max="12802" width="16.140625" style="4" customWidth="1"/>
    <col min="12803" max="12803" width="51.42578125" style="4" bestFit="1" customWidth="1"/>
    <col min="12804" max="12804" width="22.5703125" style="4" bestFit="1" customWidth="1"/>
    <col min="12805" max="12805" width="10.28515625" style="4" customWidth="1"/>
    <col min="12806" max="12806" width="15" style="4" customWidth="1"/>
    <col min="12807" max="12807" width="12.7109375" style="4" customWidth="1"/>
    <col min="12808" max="12808" width="11.85546875" style="4" bestFit="1" customWidth="1"/>
    <col min="12809" max="12809" width="16.7109375" style="4" customWidth="1"/>
    <col min="12810" max="12810" width="38.5703125" style="4" bestFit="1" customWidth="1"/>
    <col min="12811" max="13056" width="8.85546875" style="4"/>
    <col min="13057" max="13057" width="10.7109375" style="4" customWidth="1"/>
    <col min="13058" max="13058" width="16.140625" style="4" customWidth="1"/>
    <col min="13059" max="13059" width="51.42578125" style="4" bestFit="1" customWidth="1"/>
    <col min="13060" max="13060" width="22.5703125" style="4" bestFit="1" customWidth="1"/>
    <col min="13061" max="13061" width="10.28515625" style="4" customWidth="1"/>
    <col min="13062" max="13062" width="15" style="4" customWidth="1"/>
    <col min="13063" max="13063" width="12.7109375" style="4" customWidth="1"/>
    <col min="13064" max="13064" width="11.85546875" style="4" bestFit="1" customWidth="1"/>
    <col min="13065" max="13065" width="16.7109375" style="4" customWidth="1"/>
    <col min="13066" max="13066" width="38.5703125" style="4" bestFit="1" customWidth="1"/>
    <col min="13067" max="13312" width="8.85546875" style="4"/>
    <col min="13313" max="13313" width="10.7109375" style="4" customWidth="1"/>
    <col min="13314" max="13314" width="16.140625" style="4" customWidth="1"/>
    <col min="13315" max="13315" width="51.42578125" style="4" bestFit="1" customWidth="1"/>
    <col min="13316" max="13316" width="22.5703125" style="4" bestFit="1" customWidth="1"/>
    <col min="13317" max="13317" width="10.28515625" style="4" customWidth="1"/>
    <col min="13318" max="13318" width="15" style="4" customWidth="1"/>
    <col min="13319" max="13319" width="12.7109375" style="4" customWidth="1"/>
    <col min="13320" max="13320" width="11.85546875" style="4" bestFit="1" customWidth="1"/>
    <col min="13321" max="13321" width="16.7109375" style="4" customWidth="1"/>
    <col min="13322" max="13322" width="38.5703125" style="4" bestFit="1" customWidth="1"/>
    <col min="13323" max="13568" width="8.85546875" style="4"/>
    <col min="13569" max="13569" width="10.7109375" style="4" customWidth="1"/>
    <col min="13570" max="13570" width="16.140625" style="4" customWidth="1"/>
    <col min="13571" max="13571" width="51.42578125" style="4" bestFit="1" customWidth="1"/>
    <col min="13572" max="13572" width="22.5703125" style="4" bestFit="1" customWidth="1"/>
    <col min="13573" max="13573" width="10.28515625" style="4" customWidth="1"/>
    <col min="13574" max="13574" width="15" style="4" customWidth="1"/>
    <col min="13575" max="13575" width="12.7109375" style="4" customWidth="1"/>
    <col min="13576" max="13576" width="11.85546875" style="4" bestFit="1" customWidth="1"/>
    <col min="13577" max="13577" width="16.7109375" style="4" customWidth="1"/>
    <col min="13578" max="13578" width="38.5703125" style="4" bestFit="1" customWidth="1"/>
    <col min="13579" max="13824" width="8.85546875" style="4"/>
    <col min="13825" max="13825" width="10.7109375" style="4" customWidth="1"/>
    <col min="13826" max="13826" width="16.140625" style="4" customWidth="1"/>
    <col min="13827" max="13827" width="51.42578125" style="4" bestFit="1" customWidth="1"/>
    <col min="13828" max="13828" width="22.5703125" style="4" bestFit="1" customWidth="1"/>
    <col min="13829" max="13829" width="10.28515625" style="4" customWidth="1"/>
    <col min="13830" max="13830" width="15" style="4" customWidth="1"/>
    <col min="13831" max="13831" width="12.7109375" style="4" customWidth="1"/>
    <col min="13832" max="13832" width="11.85546875" style="4" bestFit="1" customWidth="1"/>
    <col min="13833" max="13833" width="16.7109375" style="4" customWidth="1"/>
    <col min="13834" max="13834" width="38.5703125" style="4" bestFit="1" customWidth="1"/>
    <col min="13835" max="14080" width="8.85546875" style="4"/>
    <col min="14081" max="14081" width="10.7109375" style="4" customWidth="1"/>
    <col min="14082" max="14082" width="16.140625" style="4" customWidth="1"/>
    <col min="14083" max="14083" width="51.42578125" style="4" bestFit="1" customWidth="1"/>
    <col min="14084" max="14084" width="22.5703125" style="4" bestFit="1" customWidth="1"/>
    <col min="14085" max="14085" width="10.28515625" style="4" customWidth="1"/>
    <col min="14086" max="14086" width="15" style="4" customWidth="1"/>
    <col min="14087" max="14087" width="12.7109375" style="4" customWidth="1"/>
    <col min="14088" max="14088" width="11.85546875" style="4" bestFit="1" customWidth="1"/>
    <col min="14089" max="14089" width="16.7109375" style="4" customWidth="1"/>
    <col min="14090" max="14090" width="38.5703125" style="4" bestFit="1" customWidth="1"/>
    <col min="14091" max="14336" width="8.85546875" style="4"/>
    <col min="14337" max="14337" width="10.7109375" style="4" customWidth="1"/>
    <col min="14338" max="14338" width="16.140625" style="4" customWidth="1"/>
    <col min="14339" max="14339" width="51.42578125" style="4" bestFit="1" customWidth="1"/>
    <col min="14340" max="14340" width="22.5703125" style="4" bestFit="1" customWidth="1"/>
    <col min="14341" max="14341" width="10.28515625" style="4" customWidth="1"/>
    <col min="14342" max="14342" width="15" style="4" customWidth="1"/>
    <col min="14343" max="14343" width="12.7109375" style="4" customWidth="1"/>
    <col min="14344" max="14344" width="11.85546875" style="4" bestFit="1" customWidth="1"/>
    <col min="14345" max="14345" width="16.7109375" style="4" customWidth="1"/>
    <col min="14346" max="14346" width="38.5703125" style="4" bestFit="1" customWidth="1"/>
    <col min="14347" max="14592" width="8.85546875" style="4"/>
    <col min="14593" max="14593" width="10.7109375" style="4" customWidth="1"/>
    <col min="14594" max="14594" width="16.140625" style="4" customWidth="1"/>
    <col min="14595" max="14595" width="51.42578125" style="4" bestFit="1" customWidth="1"/>
    <col min="14596" max="14596" width="22.5703125" style="4" bestFit="1" customWidth="1"/>
    <col min="14597" max="14597" width="10.28515625" style="4" customWidth="1"/>
    <col min="14598" max="14598" width="15" style="4" customWidth="1"/>
    <col min="14599" max="14599" width="12.7109375" style="4" customWidth="1"/>
    <col min="14600" max="14600" width="11.85546875" style="4" bestFit="1" customWidth="1"/>
    <col min="14601" max="14601" width="16.7109375" style="4" customWidth="1"/>
    <col min="14602" max="14602" width="38.5703125" style="4" bestFit="1" customWidth="1"/>
    <col min="14603" max="14848" width="8.85546875" style="4"/>
    <col min="14849" max="14849" width="10.7109375" style="4" customWidth="1"/>
    <col min="14850" max="14850" width="16.140625" style="4" customWidth="1"/>
    <col min="14851" max="14851" width="51.42578125" style="4" bestFit="1" customWidth="1"/>
    <col min="14852" max="14852" width="22.5703125" style="4" bestFit="1" customWidth="1"/>
    <col min="14853" max="14853" width="10.28515625" style="4" customWidth="1"/>
    <col min="14854" max="14854" width="15" style="4" customWidth="1"/>
    <col min="14855" max="14855" width="12.7109375" style="4" customWidth="1"/>
    <col min="14856" max="14856" width="11.85546875" style="4" bestFit="1" customWidth="1"/>
    <col min="14857" max="14857" width="16.7109375" style="4" customWidth="1"/>
    <col min="14858" max="14858" width="38.5703125" style="4" bestFit="1" customWidth="1"/>
    <col min="14859" max="15104" width="8.85546875" style="4"/>
    <col min="15105" max="15105" width="10.7109375" style="4" customWidth="1"/>
    <col min="15106" max="15106" width="16.140625" style="4" customWidth="1"/>
    <col min="15107" max="15107" width="51.42578125" style="4" bestFit="1" customWidth="1"/>
    <col min="15108" max="15108" width="22.5703125" style="4" bestFit="1" customWidth="1"/>
    <col min="15109" max="15109" width="10.28515625" style="4" customWidth="1"/>
    <col min="15110" max="15110" width="15" style="4" customWidth="1"/>
    <col min="15111" max="15111" width="12.7109375" style="4" customWidth="1"/>
    <col min="15112" max="15112" width="11.85546875" style="4" bestFit="1" customWidth="1"/>
    <col min="15113" max="15113" width="16.7109375" style="4" customWidth="1"/>
    <col min="15114" max="15114" width="38.5703125" style="4" bestFit="1" customWidth="1"/>
    <col min="15115" max="15360" width="8.85546875" style="4"/>
    <col min="15361" max="15361" width="10.7109375" style="4" customWidth="1"/>
    <col min="15362" max="15362" width="16.140625" style="4" customWidth="1"/>
    <col min="15363" max="15363" width="51.42578125" style="4" bestFit="1" customWidth="1"/>
    <col min="15364" max="15364" width="22.5703125" style="4" bestFit="1" customWidth="1"/>
    <col min="15365" max="15365" width="10.28515625" style="4" customWidth="1"/>
    <col min="15366" max="15366" width="15" style="4" customWidth="1"/>
    <col min="15367" max="15367" width="12.7109375" style="4" customWidth="1"/>
    <col min="15368" max="15368" width="11.85546875" style="4" bestFit="1" customWidth="1"/>
    <col min="15369" max="15369" width="16.7109375" style="4" customWidth="1"/>
    <col min="15370" max="15370" width="38.5703125" style="4" bestFit="1" customWidth="1"/>
    <col min="15371" max="15616" width="8.85546875" style="4"/>
    <col min="15617" max="15617" width="10.7109375" style="4" customWidth="1"/>
    <col min="15618" max="15618" width="16.140625" style="4" customWidth="1"/>
    <col min="15619" max="15619" width="51.42578125" style="4" bestFit="1" customWidth="1"/>
    <col min="15620" max="15620" width="22.5703125" style="4" bestFit="1" customWidth="1"/>
    <col min="15621" max="15621" width="10.28515625" style="4" customWidth="1"/>
    <col min="15622" max="15622" width="15" style="4" customWidth="1"/>
    <col min="15623" max="15623" width="12.7109375" style="4" customWidth="1"/>
    <col min="15624" max="15624" width="11.85546875" style="4" bestFit="1" customWidth="1"/>
    <col min="15625" max="15625" width="16.7109375" style="4" customWidth="1"/>
    <col min="15626" max="15626" width="38.5703125" style="4" bestFit="1" customWidth="1"/>
    <col min="15627" max="15872" width="8.85546875" style="4"/>
    <col min="15873" max="15873" width="10.7109375" style="4" customWidth="1"/>
    <col min="15874" max="15874" width="16.140625" style="4" customWidth="1"/>
    <col min="15875" max="15875" width="51.42578125" style="4" bestFit="1" customWidth="1"/>
    <col min="15876" max="15876" width="22.5703125" style="4" bestFit="1" customWidth="1"/>
    <col min="15877" max="15877" width="10.28515625" style="4" customWidth="1"/>
    <col min="15878" max="15878" width="15" style="4" customWidth="1"/>
    <col min="15879" max="15879" width="12.7109375" style="4" customWidth="1"/>
    <col min="15880" max="15880" width="11.85546875" style="4" bestFit="1" customWidth="1"/>
    <col min="15881" max="15881" width="16.7109375" style="4" customWidth="1"/>
    <col min="15882" max="15882" width="38.5703125" style="4" bestFit="1" customWidth="1"/>
    <col min="15883" max="16128" width="8.85546875" style="4"/>
    <col min="16129" max="16129" width="10.7109375" style="4" customWidth="1"/>
    <col min="16130" max="16130" width="16.140625" style="4" customWidth="1"/>
    <col min="16131" max="16131" width="51.42578125" style="4" bestFit="1" customWidth="1"/>
    <col min="16132" max="16132" width="22.5703125" style="4" bestFit="1" customWidth="1"/>
    <col min="16133" max="16133" width="10.28515625" style="4" customWidth="1"/>
    <col min="16134" max="16134" width="15" style="4" customWidth="1"/>
    <col min="16135" max="16135" width="12.7109375" style="4" customWidth="1"/>
    <col min="16136" max="16136" width="11.85546875" style="4" bestFit="1" customWidth="1"/>
    <col min="16137" max="16137" width="16.7109375" style="4" customWidth="1"/>
    <col min="16138" max="16138" width="38.5703125" style="4" bestFit="1" customWidth="1"/>
    <col min="16139" max="16384" width="8.85546875" style="4"/>
  </cols>
  <sheetData>
    <row r="1" spans="1:13" x14ac:dyDescent="0.25">
      <c r="A1" s="1" t="s">
        <v>0</v>
      </c>
    </row>
    <row r="2" spans="1:13" x14ac:dyDescent="0.25">
      <c r="A2" s="1" t="s">
        <v>1</v>
      </c>
    </row>
    <row r="3" spans="1:13" x14ac:dyDescent="0.25">
      <c r="A3" s="1"/>
    </row>
    <row r="4" spans="1:13" ht="26.25" x14ac:dyDescent="0.25">
      <c r="A4" s="34" t="s">
        <v>17</v>
      </c>
      <c r="B4" s="34"/>
      <c r="C4" s="34"/>
      <c r="D4" s="34"/>
      <c r="E4" s="34"/>
      <c r="F4" s="34"/>
      <c r="G4" s="34"/>
      <c r="H4" s="34"/>
      <c r="I4" s="34"/>
      <c r="J4" s="34"/>
    </row>
    <row r="5" spans="1:13" s="7" customFormat="1" x14ac:dyDescent="0.25">
      <c r="A5" s="5" t="s">
        <v>2</v>
      </c>
      <c r="B5" s="5"/>
      <c r="C5" s="5"/>
      <c r="D5" s="6"/>
      <c r="E5" s="5"/>
      <c r="F5" s="5"/>
      <c r="G5" s="5"/>
      <c r="H5" s="5"/>
      <c r="I5" s="5"/>
      <c r="J5" s="6"/>
    </row>
    <row r="6" spans="1:13" x14ac:dyDescent="0.25">
      <c r="A6" s="8" t="s">
        <v>3</v>
      </c>
      <c r="B6" s="8"/>
      <c r="C6" s="8"/>
      <c r="D6" s="9"/>
      <c r="E6" s="8"/>
      <c r="F6" s="8"/>
      <c r="G6" s="8"/>
      <c r="H6" s="8"/>
      <c r="I6" s="8"/>
      <c r="J6" s="9"/>
    </row>
    <row r="7" spans="1:13" x14ac:dyDescent="0.25">
      <c r="A7" s="8" t="s">
        <v>4</v>
      </c>
      <c r="B7" s="8"/>
      <c r="C7" s="8"/>
      <c r="D7" s="9"/>
      <c r="E7" s="8"/>
      <c r="F7" s="8"/>
      <c r="G7" s="8"/>
      <c r="H7" s="8"/>
      <c r="I7" s="8"/>
      <c r="J7" s="9"/>
    </row>
    <row r="8" spans="1:13" x14ac:dyDescent="0.25">
      <c r="A8" s="8" t="s">
        <v>5</v>
      </c>
      <c r="B8" s="8"/>
      <c r="C8" s="8"/>
      <c r="D8" s="10"/>
      <c r="E8" s="8"/>
      <c r="F8" s="8"/>
      <c r="G8" s="8"/>
      <c r="H8" s="8"/>
      <c r="I8" s="8"/>
      <c r="J8" s="9"/>
    </row>
    <row r="9" spans="1:13" x14ac:dyDescent="0.25">
      <c r="A9" s="8" t="s">
        <v>6</v>
      </c>
      <c r="B9" s="8"/>
      <c r="C9" s="8"/>
      <c r="D9" s="10"/>
      <c r="E9" s="8"/>
      <c r="F9" s="8"/>
      <c r="G9" s="8"/>
      <c r="H9" s="8"/>
      <c r="I9" s="8"/>
      <c r="J9" s="9"/>
      <c r="M9" s="11"/>
    </row>
    <row r="10" spans="1:13" x14ac:dyDescent="0.25">
      <c r="A10" s="8" t="s">
        <v>7</v>
      </c>
      <c r="B10" s="8"/>
      <c r="C10" s="8"/>
      <c r="D10" s="10"/>
      <c r="E10" s="8"/>
      <c r="F10" s="8"/>
      <c r="G10" s="8"/>
      <c r="H10" s="8"/>
      <c r="I10" s="8"/>
      <c r="J10" s="9"/>
    </row>
    <row r="12" spans="1:13" s="2" customFormat="1" x14ac:dyDescent="0.25">
      <c r="A12" s="12" t="s">
        <v>8</v>
      </c>
      <c r="B12" s="13" t="s">
        <v>9</v>
      </c>
      <c r="C12" s="14" t="s">
        <v>10</v>
      </c>
      <c r="D12" s="13" t="s">
        <v>18</v>
      </c>
      <c r="E12" s="15" t="s">
        <v>11</v>
      </c>
      <c r="F12" s="15" t="s">
        <v>12</v>
      </c>
      <c r="G12" s="16" t="s">
        <v>13</v>
      </c>
      <c r="H12" s="16" t="s">
        <v>14</v>
      </c>
      <c r="I12" s="16" t="s">
        <v>15</v>
      </c>
      <c r="J12" s="17" t="s">
        <v>16</v>
      </c>
    </row>
    <row r="13" spans="1:13" x14ac:dyDescent="0.25">
      <c r="A13" s="18">
        <v>1</v>
      </c>
      <c r="B13" s="19" t="s">
        <v>19</v>
      </c>
      <c r="C13" s="20" t="s">
        <v>23</v>
      </c>
      <c r="D13" s="20" t="s">
        <v>21</v>
      </c>
      <c r="E13" s="22">
        <v>1</v>
      </c>
      <c r="F13" s="22">
        <v>400000000</v>
      </c>
      <c r="G13" s="23" t="s">
        <v>20</v>
      </c>
      <c r="H13" s="21" t="s">
        <v>22</v>
      </c>
      <c r="I13" s="24">
        <v>0.5</v>
      </c>
      <c r="J13" s="25" t="s">
        <v>31</v>
      </c>
    </row>
    <row r="14" spans="1:13" x14ac:dyDescent="0.25">
      <c r="A14" s="18">
        <v>2</v>
      </c>
      <c r="B14" s="19" t="s">
        <v>19</v>
      </c>
      <c r="C14" s="20" t="s">
        <v>24</v>
      </c>
      <c r="D14" s="20" t="s">
        <v>25</v>
      </c>
      <c r="E14" s="22">
        <v>500</v>
      </c>
      <c r="F14" s="22">
        <v>400000000</v>
      </c>
      <c r="G14" s="23" t="s">
        <v>26</v>
      </c>
      <c r="H14" s="21" t="s">
        <v>27</v>
      </c>
      <c r="I14" s="24">
        <v>0.7</v>
      </c>
      <c r="J14" s="25" t="s">
        <v>32</v>
      </c>
    </row>
    <row r="15" spans="1:13" ht="14.45" customHeight="1" x14ac:dyDescent="0.25">
      <c r="A15" s="18">
        <v>3</v>
      </c>
      <c r="B15" s="19" t="s">
        <v>19</v>
      </c>
      <c r="C15" s="20" t="s">
        <v>28</v>
      </c>
      <c r="D15" s="20" t="s">
        <v>29</v>
      </c>
      <c r="E15" s="22">
        <v>200</v>
      </c>
      <c r="F15" s="22">
        <v>57684000</v>
      </c>
      <c r="G15" s="23" t="s">
        <v>26</v>
      </c>
      <c r="H15" s="21" t="s">
        <v>27</v>
      </c>
      <c r="I15" s="24">
        <v>0.9</v>
      </c>
      <c r="J15" s="25" t="s">
        <v>30</v>
      </c>
    </row>
    <row r="16" spans="1:13" ht="14.45" customHeight="1" x14ac:dyDescent="0.25">
      <c r="A16" s="18">
        <v>4</v>
      </c>
      <c r="B16" s="19" t="s">
        <v>19</v>
      </c>
      <c r="C16" s="20" t="s">
        <v>33</v>
      </c>
      <c r="D16" s="20" t="s">
        <v>34</v>
      </c>
      <c r="E16" s="22">
        <v>1</v>
      </c>
      <c r="F16" s="22">
        <v>200000000</v>
      </c>
      <c r="G16" s="23" t="s">
        <v>20</v>
      </c>
      <c r="H16" s="21" t="s">
        <v>27</v>
      </c>
      <c r="I16" s="24">
        <v>0.5</v>
      </c>
      <c r="J16" s="25" t="s">
        <v>31</v>
      </c>
    </row>
    <row r="17" spans="1:10" ht="14.45" customHeight="1" x14ac:dyDescent="0.25">
      <c r="A17" s="18">
        <v>5</v>
      </c>
      <c r="B17" s="19" t="s">
        <v>19</v>
      </c>
      <c r="C17" s="20" t="s">
        <v>35</v>
      </c>
      <c r="D17" s="20" t="s">
        <v>36</v>
      </c>
      <c r="E17" s="22">
        <v>90</v>
      </c>
      <c r="F17" s="22">
        <v>99000000</v>
      </c>
      <c r="G17" s="23" t="s">
        <v>26</v>
      </c>
      <c r="H17" s="21" t="s">
        <v>27</v>
      </c>
      <c r="I17" s="24">
        <v>0.7</v>
      </c>
      <c r="J17" s="25" t="s">
        <v>32</v>
      </c>
    </row>
    <row r="18" spans="1:10" ht="14.45" customHeight="1" x14ac:dyDescent="0.25">
      <c r="A18" s="18">
        <v>6</v>
      </c>
      <c r="B18" s="19" t="s">
        <v>19</v>
      </c>
      <c r="C18" s="20" t="s">
        <v>37</v>
      </c>
      <c r="D18" s="20" t="s">
        <v>38</v>
      </c>
      <c r="E18" s="22">
        <v>1</v>
      </c>
      <c r="F18" s="22">
        <v>500000000</v>
      </c>
      <c r="G18" s="23" t="s">
        <v>20</v>
      </c>
      <c r="H18" s="21" t="s">
        <v>39</v>
      </c>
      <c r="I18" s="24">
        <v>0.5</v>
      </c>
      <c r="J18" s="25" t="s">
        <v>31</v>
      </c>
    </row>
    <row r="19" spans="1:10" ht="14.45" customHeight="1" x14ac:dyDescent="0.25">
      <c r="A19" s="18">
        <v>7</v>
      </c>
      <c r="B19" s="19" t="s">
        <v>19</v>
      </c>
      <c r="C19" s="20" t="s">
        <v>37</v>
      </c>
      <c r="D19" s="20" t="s">
        <v>43</v>
      </c>
      <c r="E19" s="22">
        <v>1</v>
      </c>
      <c r="F19" s="22">
        <f>10000*24000</f>
        <v>240000000</v>
      </c>
      <c r="G19" s="23" t="s">
        <v>20</v>
      </c>
      <c r="H19" s="21" t="s">
        <v>39</v>
      </c>
      <c r="I19" s="24">
        <v>0.5</v>
      </c>
      <c r="J19" s="25" t="s">
        <v>31</v>
      </c>
    </row>
    <row r="20" spans="1:10" ht="14.45" customHeight="1" x14ac:dyDescent="0.25">
      <c r="A20" s="18">
        <v>8</v>
      </c>
      <c r="B20" s="19" t="s">
        <v>19</v>
      </c>
      <c r="C20" s="20" t="s">
        <v>41</v>
      </c>
      <c r="D20" s="20" t="s">
        <v>42</v>
      </c>
      <c r="E20" s="22">
        <v>20</v>
      </c>
      <c r="F20" s="22">
        <v>68000000</v>
      </c>
      <c r="G20" s="23" t="s">
        <v>20</v>
      </c>
      <c r="H20" s="21" t="s">
        <v>27</v>
      </c>
      <c r="I20" s="24">
        <v>0.7</v>
      </c>
      <c r="J20" s="25" t="s">
        <v>32</v>
      </c>
    </row>
    <row r="21" spans="1:10" ht="14.45" customHeight="1" x14ac:dyDescent="0.25">
      <c r="A21" s="18">
        <v>9</v>
      </c>
      <c r="B21" s="19" t="s">
        <v>19</v>
      </c>
      <c r="C21" s="20" t="s">
        <v>44</v>
      </c>
      <c r="D21" s="20" t="s">
        <v>45</v>
      </c>
      <c r="E21" s="22">
        <v>1</v>
      </c>
      <c r="F21" s="22">
        <f>24000*28000</f>
        <v>672000000</v>
      </c>
      <c r="G21" s="23" t="s">
        <v>20</v>
      </c>
      <c r="H21" s="21" t="s">
        <v>40</v>
      </c>
      <c r="I21" s="24">
        <v>0.5</v>
      </c>
      <c r="J21" s="25" t="s">
        <v>31</v>
      </c>
    </row>
    <row r="22" spans="1:10" x14ac:dyDescent="0.25">
      <c r="A22" s="18">
        <v>6</v>
      </c>
      <c r="B22" s="19" t="s">
        <v>19</v>
      </c>
      <c r="C22" s="20" t="s">
        <v>23</v>
      </c>
      <c r="D22" s="20" t="s">
        <v>47</v>
      </c>
      <c r="E22" s="22">
        <v>1</v>
      </c>
      <c r="F22" s="22">
        <v>400000000</v>
      </c>
      <c r="G22" s="23" t="s">
        <v>20</v>
      </c>
      <c r="H22" s="21" t="s">
        <v>40</v>
      </c>
      <c r="I22" s="24">
        <v>0.5</v>
      </c>
      <c r="J22" s="25" t="s">
        <v>31</v>
      </c>
    </row>
    <row r="23" spans="1:10" x14ac:dyDescent="0.25">
      <c r="A23" s="18">
        <v>7</v>
      </c>
      <c r="B23" s="19" t="s">
        <v>19</v>
      </c>
      <c r="C23" s="20" t="s">
        <v>46</v>
      </c>
      <c r="D23" s="20" t="s">
        <v>47</v>
      </c>
      <c r="E23" s="22">
        <v>1</v>
      </c>
      <c r="F23" s="22">
        <v>400000000</v>
      </c>
      <c r="G23" s="23" t="s">
        <v>20</v>
      </c>
      <c r="H23" s="21" t="s">
        <v>40</v>
      </c>
      <c r="I23" s="24">
        <v>0.5</v>
      </c>
      <c r="J23" s="25" t="s">
        <v>31</v>
      </c>
    </row>
    <row r="24" spans="1:10" ht="30" x14ac:dyDescent="0.25">
      <c r="A24" s="18">
        <v>8</v>
      </c>
      <c r="B24" s="19" t="s">
        <v>19</v>
      </c>
      <c r="C24" s="20" t="s">
        <v>48</v>
      </c>
      <c r="D24" s="20" t="s">
        <v>49</v>
      </c>
      <c r="E24" s="22">
        <v>1</v>
      </c>
      <c r="F24" s="22">
        <v>433930500</v>
      </c>
      <c r="G24" s="23" t="s">
        <v>20</v>
      </c>
      <c r="H24" s="21" t="s">
        <v>40</v>
      </c>
      <c r="I24" s="24">
        <v>0.5</v>
      </c>
      <c r="J24" s="25"/>
    </row>
    <row r="25" spans="1:10" x14ac:dyDescent="0.25">
      <c r="A25" s="18">
        <v>9</v>
      </c>
      <c r="B25" s="19" t="s">
        <v>19</v>
      </c>
      <c r="C25" s="20" t="s">
        <v>50</v>
      </c>
      <c r="D25" s="20" t="s">
        <v>51</v>
      </c>
      <c r="E25" s="22">
        <v>1</v>
      </c>
      <c r="F25" s="22">
        <v>260000000</v>
      </c>
      <c r="G25" s="23" t="s">
        <v>26</v>
      </c>
      <c r="H25" s="21" t="s">
        <v>52</v>
      </c>
      <c r="I25" s="24">
        <v>0.5</v>
      </c>
      <c r="J25" s="25"/>
    </row>
    <row r="26" spans="1:10" x14ac:dyDescent="0.25">
      <c r="A26" s="18">
        <v>10</v>
      </c>
      <c r="B26" s="19" t="s">
        <v>19</v>
      </c>
      <c r="C26" s="20" t="s">
        <v>53</v>
      </c>
      <c r="D26" s="20" t="s">
        <v>54</v>
      </c>
      <c r="E26" s="22">
        <v>1</v>
      </c>
      <c r="F26" s="22">
        <v>250000000</v>
      </c>
      <c r="G26" s="23" t="s">
        <v>20</v>
      </c>
      <c r="H26" s="21" t="s">
        <v>52</v>
      </c>
      <c r="I26" s="24">
        <v>0.5</v>
      </c>
      <c r="J26" s="25"/>
    </row>
    <row r="27" spans="1:10" x14ac:dyDescent="0.25">
      <c r="A27" s="18">
        <v>11</v>
      </c>
      <c r="B27" s="19" t="s">
        <v>19</v>
      </c>
      <c r="C27" s="20" t="s">
        <v>55</v>
      </c>
      <c r="D27" s="20" t="s">
        <v>56</v>
      </c>
      <c r="E27" s="22">
        <v>1</v>
      </c>
      <c r="F27" s="22">
        <v>1100000000</v>
      </c>
      <c r="G27" s="23" t="s">
        <v>20</v>
      </c>
      <c r="H27" s="21" t="s">
        <v>52</v>
      </c>
      <c r="I27" s="24">
        <v>0.5</v>
      </c>
      <c r="J27" s="25"/>
    </row>
    <row r="28" spans="1:10" x14ac:dyDescent="0.25">
      <c r="A28" s="18">
        <v>12</v>
      </c>
      <c r="B28" s="19" t="s">
        <v>19</v>
      </c>
      <c r="C28" s="20" t="s">
        <v>57</v>
      </c>
      <c r="D28" s="20" t="s">
        <v>58</v>
      </c>
      <c r="E28" s="22">
        <v>1</v>
      </c>
      <c r="F28" s="22">
        <v>45000000</v>
      </c>
      <c r="G28" s="23" t="s">
        <v>20</v>
      </c>
      <c r="H28" s="21" t="s">
        <v>52</v>
      </c>
      <c r="I28" s="24">
        <v>0.5</v>
      </c>
      <c r="J28" s="25"/>
    </row>
    <row r="29" spans="1:10" ht="30" x14ac:dyDescent="0.25">
      <c r="A29" s="18">
        <v>13</v>
      </c>
      <c r="B29" s="19" t="s">
        <v>19</v>
      </c>
      <c r="C29" s="20" t="s">
        <v>59</v>
      </c>
      <c r="D29" s="20" t="s">
        <v>60</v>
      </c>
      <c r="E29" s="22">
        <v>1</v>
      </c>
      <c r="F29" s="22">
        <v>150000000</v>
      </c>
      <c r="G29" s="23" t="s">
        <v>26</v>
      </c>
      <c r="H29" s="21" t="s">
        <v>52</v>
      </c>
      <c r="I29" s="24">
        <v>0.5</v>
      </c>
      <c r="J29" s="25"/>
    </row>
    <row r="30" spans="1:10" x14ac:dyDescent="0.25">
      <c r="A30" s="18">
        <v>14</v>
      </c>
      <c r="B30" s="19" t="s">
        <v>19</v>
      </c>
      <c r="C30" s="20"/>
      <c r="D30" s="20"/>
      <c r="E30" s="22"/>
      <c r="F30" s="22"/>
      <c r="G30" s="23"/>
      <c r="H30" s="21" t="s">
        <v>52</v>
      </c>
      <c r="I30" s="24">
        <v>0.5</v>
      </c>
      <c r="J30" s="25"/>
    </row>
    <row r="31" spans="1:10" x14ac:dyDescent="0.25">
      <c r="A31" s="18">
        <v>15</v>
      </c>
      <c r="B31" s="19" t="s">
        <v>19</v>
      </c>
      <c r="C31" s="20"/>
      <c r="D31" s="20"/>
      <c r="E31" s="22"/>
      <c r="F31" s="22"/>
      <c r="G31" s="26"/>
      <c r="H31" s="21"/>
      <c r="I31" s="24">
        <v>0.5</v>
      </c>
      <c r="J31" s="27"/>
    </row>
    <row r="32" spans="1:10" x14ac:dyDescent="0.25">
      <c r="A32" s="18">
        <v>16</v>
      </c>
      <c r="B32" s="19" t="s">
        <v>19</v>
      </c>
      <c r="C32" s="20"/>
      <c r="D32" s="20"/>
      <c r="E32" s="22"/>
      <c r="F32" s="22"/>
      <c r="G32" s="26"/>
      <c r="H32" s="21"/>
      <c r="I32" s="24">
        <v>0.5</v>
      </c>
      <c r="J32" s="25"/>
    </row>
    <row r="33" spans="1:10" x14ac:dyDescent="0.25">
      <c r="A33" s="18">
        <v>17</v>
      </c>
      <c r="B33" s="19" t="s">
        <v>19</v>
      </c>
      <c r="C33" s="20"/>
      <c r="D33" s="20"/>
      <c r="E33" s="22"/>
      <c r="F33" s="22"/>
      <c r="G33" s="23"/>
      <c r="H33" s="21"/>
      <c r="I33" s="24">
        <v>0.5</v>
      </c>
      <c r="J33" s="25"/>
    </row>
    <row r="34" spans="1:10" x14ac:dyDescent="0.25">
      <c r="A34" s="18">
        <v>18</v>
      </c>
      <c r="B34" s="19" t="s">
        <v>19</v>
      </c>
      <c r="C34" s="20"/>
      <c r="D34" s="20"/>
      <c r="E34" s="22"/>
      <c r="F34" s="22"/>
      <c r="G34" s="23"/>
      <c r="H34" s="21"/>
      <c r="I34" s="24">
        <v>0.5</v>
      </c>
      <c r="J34" s="25"/>
    </row>
    <row r="35" spans="1:10" x14ac:dyDescent="0.25">
      <c r="A35" s="18">
        <v>19</v>
      </c>
      <c r="B35" s="19" t="s">
        <v>19</v>
      </c>
      <c r="C35" s="20"/>
      <c r="D35" s="20"/>
      <c r="E35" s="22"/>
      <c r="F35" s="22"/>
      <c r="G35" s="23"/>
      <c r="H35" s="21"/>
      <c r="I35" s="24">
        <v>0.5</v>
      </c>
      <c r="J35" s="25"/>
    </row>
    <row r="36" spans="1:10" x14ac:dyDescent="0.25">
      <c r="A36" s="18">
        <v>20</v>
      </c>
      <c r="B36" s="19" t="s">
        <v>19</v>
      </c>
      <c r="C36" s="29"/>
      <c r="D36" s="20"/>
      <c r="E36" s="31"/>
      <c r="F36" s="31"/>
      <c r="G36" s="26"/>
      <c r="H36" s="30"/>
      <c r="I36" s="24">
        <v>0.5</v>
      </c>
      <c r="J36" s="33"/>
    </row>
    <row r="37" spans="1:10" x14ac:dyDescent="0.25">
      <c r="A37" s="18">
        <v>21</v>
      </c>
      <c r="B37" s="28"/>
      <c r="C37" s="29"/>
      <c r="D37" s="20"/>
      <c r="E37" s="31"/>
      <c r="F37" s="31"/>
      <c r="G37" s="26"/>
      <c r="H37" s="30"/>
      <c r="I37" s="32"/>
      <c r="J37" s="33"/>
    </row>
    <row r="38" spans="1:10" x14ac:dyDescent="0.25">
      <c r="A38" s="18"/>
      <c r="B38" s="28"/>
      <c r="C38" s="29"/>
      <c r="D38" s="20"/>
      <c r="E38" s="31"/>
      <c r="F38" s="31"/>
      <c r="G38" s="26"/>
      <c r="H38" s="30"/>
      <c r="I38" s="32"/>
      <c r="J38" s="33"/>
    </row>
    <row r="39" spans="1:10" x14ac:dyDescent="0.25">
      <c r="A39" s="18"/>
      <c r="B39" s="28"/>
      <c r="C39" s="29"/>
      <c r="D39" s="20"/>
      <c r="E39" s="31"/>
      <c r="F39" s="31"/>
      <c r="G39" s="26"/>
      <c r="H39" s="30"/>
      <c r="I39" s="32"/>
      <c r="J39" s="33"/>
    </row>
    <row r="40" spans="1:10" x14ac:dyDescent="0.25">
      <c r="A40" s="18"/>
      <c r="B40" s="28"/>
      <c r="C40" s="29"/>
      <c r="D40" s="20"/>
      <c r="E40" s="31"/>
      <c r="F40" s="31"/>
      <c r="G40" s="26"/>
      <c r="H40" s="30"/>
      <c r="I40" s="32"/>
      <c r="J40" s="33"/>
    </row>
    <row r="41" spans="1:10" x14ac:dyDescent="0.25">
      <c r="A41" s="18"/>
      <c r="B41" s="28"/>
      <c r="C41" s="29"/>
      <c r="D41" s="20"/>
      <c r="E41" s="31"/>
      <c r="F41" s="31"/>
      <c r="G41" s="26"/>
      <c r="H41" s="30"/>
      <c r="I41" s="32"/>
      <c r="J41" s="33"/>
    </row>
    <row r="42" spans="1:10" x14ac:dyDescent="0.25">
      <c r="A42" s="18"/>
      <c r="B42" s="28"/>
      <c r="C42" s="29"/>
      <c r="D42" s="20"/>
      <c r="E42" s="31"/>
      <c r="F42" s="31"/>
      <c r="G42" s="26"/>
      <c r="H42" s="30"/>
      <c r="I42" s="32"/>
      <c r="J42" s="33"/>
    </row>
    <row r="43" spans="1:10" x14ac:dyDescent="0.25">
      <c r="A43" s="18"/>
      <c r="B43" s="28"/>
      <c r="C43" s="29"/>
      <c r="D43" s="20"/>
      <c r="E43" s="31"/>
      <c r="F43" s="31"/>
      <c r="G43" s="26"/>
      <c r="H43" s="30"/>
      <c r="I43" s="32"/>
      <c r="J43" s="33"/>
    </row>
    <row r="44" spans="1:10" x14ac:dyDescent="0.25">
      <c r="A44" s="18"/>
      <c r="B44" s="28"/>
      <c r="C44" s="29"/>
      <c r="D44" s="20"/>
      <c r="E44" s="31"/>
      <c r="F44" s="31"/>
      <c r="G44" s="26"/>
      <c r="H44" s="30"/>
      <c r="I44" s="32"/>
      <c r="J44" s="33"/>
    </row>
    <row r="45" spans="1:10" x14ac:dyDescent="0.25">
      <c r="A45" s="18"/>
      <c r="B45" s="28"/>
      <c r="C45" s="29"/>
      <c r="D45" s="20"/>
      <c r="E45" s="31"/>
      <c r="F45" s="31"/>
      <c r="G45" s="26"/>
      <c r="H45" s="30"/>
      <c r="I45" s="32"/>
      <c r="J45" s="33"/>
    </row>
    <row r="46" spans="1:10" x14ac:dyDescent="0.25">
      <c r="A46" s="18"/>
      <c r="B46" s="28"/>
      <c r="C46" s="29"/>
      <c r="D46" s="20"/>
      <c r="E46" s="31"/>
      <c r="F46" s="31"/>
      <c r="G46" s="26"/>
      <c r="H46" s="30"/>
      <c r="I46" s="32"/>
      <c r="J46" s="33"/>
    </row>
    <row r="47" spans="1:10" x14ac:dyDescent="0.25">
      <c r="A47" s="18"/>
      <c r="B47" s="28"/>
      <c r="C47" s="29"/>
      <c r="D47" s="20"/>
      <c r="E47" s="31"/>
      <c r="F47" s="31"/>
      <c r="G47" s="26"/>
      <c r="H47" s="30"/>
      <c r="I47" s="32"/>
      <c r="J47" s="33"/>
    </row>
    <row r="48" spans="1:10" x14ac:dyDescent="0.25">
      <c r="A48" s="18"/>
      <c r="B48" s="28"/>
      <c r="C48" s="29"/>
      <c r="D48" s="20"/>
      <c r="E48" s="31"/>
      <c r="F48" s="31"/>
      <c r="G48" s="26"/>
      <c r="H48" s="30"/>
      <c r="I48" s="32"/>
      <c r="J48" s="33"/>
    </row>
    <row r="49" spans="1:10" x14ac:dyDescent="0.25">
      <c r="A49" s="18"/>
      <c r="B49" s="28"/>
      <c r="C49" s="29"/>
      <c r="D49" s="20"/>
      <c r="E49" s="31"/>
      <c r="F49" s="31"/>
      <c r="G49" s="26"/>
      <c r="H49" s="30"/>
      <c r="I49" s="32"/>
      <c r="J49" s="33"/>
    </row>
    <row r="50" spans="1:10" x14ac:dyDescent="0.25">
      <c r="A50" s="18"/>
      <c r="B50" s="28"/>
      <c r="C50" s="29"/>
      <c r="D50" s="20"/>
      <c r="E50" s="31"/>
      <c r="F50" s="31"/>
      <c r="G50" s="26"/>
      <c r="H50" s="30"/>
      <c r="I50" s="32"/>
      <c r="J50" s="33"/>
    </row>
    <row r="51" spans="1:10" x14ac:dyDescent="0.25">
      <c r="A51" s="18"/>
      <c r="B51" s="28"/>
      <c r="C51" s="29"/>
      <c r="D51" s="20"/>
      <c r="E51" s="31"/>
      <c r="F51" s="31"/>
      <c r="G51" s="26"/>
      <c r="H51" s="30"/>
      <c r="I51" s="32"/>
      <c r="J51" s="33"/>
    </row>
  </sheetData>
  <mergeCells count="1">
    <mergeCell ref="A4:J4"/>
  </mergeCells>
  <phoneticPr fontId="21" type="noConversion"/>
  <dataValidations disablePrompts="1" count="1">
    <dataValidation type="list" allowBlank="1" showInputMessage="1" showErrorMessage="1" sqref="J6 JF6 TB6 ACX6 AMT6 AWP6 BGL6 BQH6 CAD6 CJZ6 CTV6 DDR6 DNN6 DXJ6 EHF6 ERB6 FAX6 FKT6 FUP6 GEL6 GOH6 GYD6 HHZ6 HRV6 IBR6 ILN6 IVJ6 JFF6 JPB6 JYX6 KIT6 KSP6 LCL6 LMH6 LWD6 MFZ6 MPV6 MZR6 NJN6 NTJ6 ODF6 ONB6 OWX6 PGT6 PQP6 QAL6 QKH6 QUD6 RDZ6 RNV6 RXR6 SHN6 SRJ6 TBF6 TLB6 TUX6 UET6 UOP6 UYL6 VIH6 VSD6 WBZ6 WLV6 WVR6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D6 IZ6 SV6 ACR6 AMN6 AWJ6 BGF6 BQB6 BZX6 CJT6 CTP6 DDL6 DNH6 DXD6 EGZ6 EQV6 FAR6 FKN6 FUJ6 GEF6 GOB6 GXX6 HHT6 HRP6 IBL6 ILH6 IVD6 JEZ6 JOV6 JYR6 KIN6 KSJ6 LCF6 LMB6 LVX6 MFT6 MPP6 MZL6 NJH6 NTD6 OCZ6 OMV6 OWR6 PGN6 PQJ6 QAF6 QKB6 QTX6 RDT6 RNP6 RXL6 SHH6 SRD6 TAZ6 TKV6 TUR6 UEN6 UOJ6 UYF6 VIB6 VRX6 WBT6 WLP6 WVL6 D65542 IZ65542 SV65542 ACR65542 AMN65542 AWJ65542 BGF65542 BQB65542 BZX65542 CJT65542 CTP65542 DDL65542 DNH65542 DXD65542 EGZ65542 EQV65542 FAR65542 FKN65542 FUJ65542 GEF65542 GOB65542 GXX65542 HHT65542 HRP65542 IBL65542 ILH65542 IVD65542 JEZ65542 JOV65542 JYR65542 KIN65542 KSJ65542 LCF65542 LMB65542 LVX65542 MFT65542 MPP65542 MZL65542 NJH65542 NTD65542 OCZ65542 OMV65542 OWR65542 PGN65542 PQJ65542 QAF65542 QKB65542 QTX65542 RDT65542 RNP65542 RXL65542 SHH65542 SRD65542 TAZ65542 TKV65542 TUR65542 UEN65542 UOJ65542 UYF65542 VIB65542 VRX65542 WBT65542 WLP65542 WVL65542 D131078 IZ131078 SV131078 ACR131078 AMN131078 AWJ131078 BGF131078 BQB131078 BZX131078 CJT131078 CTP131078 DDL131078 DNH131078 DXD131078 EGZ131078 EQV131078 FAR131078 FKN131078 FUJ131078 GEF131078 GOB131078 GXX131078 HHT131078 HRP131078 IBL131078 ILH131078 IVD131078 JEZ131078 JOV131078 JYR131078 KIN131078 KSJ131078 LCF131078 LMB131078 LVX131078 MFT131078 MPP131078 MZL131078 NJH131078 NTD131078 OCZ131078 OMV131078 OWR131078 PGN131078 PQJ131078 QAF131078 QKB131078 QTX131078 RDT131078 RNP131078 RXL131078 SHH131078 SRD131078 TAZ131078 TKV131078 TUR131078 UEN131078 UOJ131078 UYF131078 VIB131078 VRX131078 WBT131078 WLP131078 WVL131078 D196614 IZ196614 SV196614 ACR196614 AMN196614 AWJ196614 BGF196614 BQB196614 BZX196614 CJT196614 CTP196614 DDL196614 DNH196614 DXD196614 EGZ196614 EQV196614 FAR196614 FKN196614 FUJ196614 GEF196614 GOB196614 GXX196614 HHT196614 HRP196614 IBL196614 ILH196614 IVD196614 JEZ196614 JOV196614 JYR196614 KIN196614 KSJ196614 LCF196614 LMB196614 LVX196614 MFT196614 MPP196614 MZL196614 NJH196614 NTD196614 OCZ196614 OMV196614 OWR196614 PGN196614 PQJ196614 QAF196614 QKB196614 QTX196614 RDT196614 RNP196614 RXL196614 SHH196614 SRD196614 TAZ196614 TKV196614 TUR196614 UEN196614 UOJ196614 UYF196614 VIB196614 VRX196614 WBT196614 WLP196614 WVL196614 D262150 IZ262150 SV262150 ACR262150 AMN262150 AWJ262150 BGF262150 BQB262150 BZX262150 CJT262150 CTP262150 DDL262150 DNH262150 DXD262150 EGZ262150 EQV262150 FAR262150 FKN262150 FUJ262150 GEF262150 GOB262150 GXX262150 HHT262150 HRP262150 IBL262150 ILH262150 IVD262150 JEZ262150 JOV262150 JYR262150 KIN262150 KSJ262150 LCF262150 LMB262150 LVX262150 MFT262150 MPP262150 MZL262150 NJH262150 NTD262150 OCZ262150 OMV262150 OWR262150 PGN262150 PQJ262150 QAF262150 QKB262150 QTX262150 RDT262150 RNP262150 RXL262150 SHH262150 SRD262150 TAZ262150 TKV262150 TUR262150 UEN262150 UOJ262150 UYF262150 VIB262150 VRX262150 WBT262150 WLP262150 WVL262150 D327686 IZ327686 SV327686 ACR327686 AMN327686 AWJ327686 BGF327686 BQB327686 BZX327686 CJT327686 CTP327686 DDL327686 DNH327686 DXD327686 EGZ327686 EQV327686 FAR327686 FKN327686 FUJ327686 GEF327686 GOB327686 GXX327686 HHT327686 HRP327686 IBL327686 ILH327686 IVD327686 JEZ327686 JOV327686 JYR327686 KIN327686 KSJ327686 LCF327686 LMB327686 LVX327686 MFT327686 MPP327686 MZL327686 NJH327686 NTD327686 OCZ327686 OMV327686 OWR327686 PGN327686 PQJ327686 QAF327686 QKB327686 QTX327686 RDT327686 RNP327686 RXL327686 SHH327686 SRD327686 TAZ327686 TKV327686 TUR327686 UEN327686 UOJ327686 UYF327686 VIB327686 VRX327686 WBT327686 WLP327686 WVL327686 D393222 IZ393222 SV393222 ACR393222 AMN393222 AWJ393222 BGF393222 BQB393222 BZX393222 CJT393222 CTP393222 DDL393222 DNH393222 DXD393222 EGZ393222 EQV393222 FAR393222 FKN393222 FUJ393222 GEF393222 GOB393222 GXX393222 HHT393222 HRP393222 IBL393222 ILH393222 IVD393222 JEZ393222 JOV393222 JYR393222 KIN393222 KSJ393222 LCF393222 LMB393222 LVX393222 MFT393222 MPP393222 MZL393222 NJH393222 NTD393222 OCZ393222 OMV393222 OWR393222 PGN393222 PQJ393222 QAF393222 QKB393222 QTX393222 RDT393222 RNP393222 RXL393222 SHH393222 SRD393222 TAZ393222 TKV393222 TUR393222 UEN393222 UOJ393222 UYF393222 VIB393222 VRX393222 WBT393222 WLP393222 WVL393222 D458758 IZ458758 SV458758 ACR458758 AMN458758 AWJ458758 BGF458758 BQB458758 BZX458758 CJT458758 CTP458758 DDL458758 DNH458758 DXD458758 EGZ458758 EQV458758 FAR458758 FKN458758 FUJ458758 GEF458758 GOB458758 GXX458758 HHT458758 HRP458758 IBL458758 ILH458758 IVD458758 JEZ458758 JOV458758 JYR458758 KIN458758 KSJ458758 LCF458758 LMB458758 LVX458758 MFT458758 MPP458758 MZL458758 NJH458758 NTD458758 OCZ458758 OMV458758 OWR458758 PGN458758 PQJ458758 QAF458758 QKB458758 QTX458758 RDT458758 RNP458758 RXL458758 SHH458758 SRD458758 TAZ458758 TKV458758 TUR458758 UEN458758 UOJ458758 UYF458758 VIB458758 VRX458758 WBT458758 WLP458758 WVL458758 D524294 IZ524294 SV524294 ACR524294 AMN524294 AWJ524294 BGF524294 BQB524294 BZX524294 CJT524294 CTP524294 DDL524294 DNH524294 DXD524294 EGZ524294 EQV524294 FAR524294 FKN524294 FUJ524294 GEF524294 GOB524294 GXX524294 HHT524294 HRP524294 IBL524294 ILH524294 IVD524294 JEZ524294 JOV524294 JYR524294 KIN524294 KSJ524294 LCF524294 LMB524294 LVX524294 MFT524294 MPP524294 MZL524294 NJH524294 NTD524294 OCZ524294 OMV524294 OWR524294 PGN524294 PQJ524294 QAF524294 QKB524294 QTX524294 RDT524294 RNP524294 RXL524294 SHH524294 SRD524294 TAZ524294 TKV524294 TUR524294 UEN524294 UOJ524294 UYF524294 VIB524294 VRX524294 WBT524294 WLP524294 WVL524294 D589830 IZ589830 SV589830 ACR589830 AMN589830 AWJ589830 BGF589830 BQB589830 BZX589830 CJT589830 CTP589830 DDL589830 DNH589830 DXD589830 EGZ589830 EQV589830 FAR589830 FKN589830 FUJ589830 GEF589830 GOB589830 GXX589830 HHT589830 HRP589830 IBL589830 ILH589830 IVD589830 JEZ589830 JOV589830 JYR589830 KIN589830 KSJ589830 LCF589830 LMB589830 LVX589830 MFT589830 MPP589830 MZL589830 NJH589830 NTD589830 OCZ589830 OMV589830 OWR589830 PGN589830 PQJ589830 QAF589830 QKB589830 QTX589830 RDT589830 RNP589830 RXL589830 SHH589830 SRD589830 TAZ589830 TKV589830 TUR589830 UEN589830 UOJ589830 UYF589830 VIB589830 VRX589830 WBT589830 WLP589830 WVL589830 D655366 IZ655366 SV655366 ACR655366 AMN655366 AWJ655366 BGF655366 BQB655366 BZX655366 CJT655366 CTP655366 DDL655366 DNH655366 DXD655366 EGZ655366 EQV655366 FAR655366 FKN655366 FUJ655366 GEF655366 GOB655366 GXX655366 HHT655366 HRP655366 IBL655366 ILH655366 IVD655366 JEZ655366 JOV655366 JYR655366 KIN655366 KSJ655366 LCF655366 LMB655366 LVX655366 MFT655366 MPP655366 MZL655366 NJH655366 NTD655366 OCZ655366 OMV655366 OWR655366 PGN655366 PQJ655366 QAF655366 QKB655366 QTX655366 RDT655366 RNP655366 RXL655366 SHH655366 SRD655366 TAZ655366 TKV655366 TUR655366 UEN655366 UOJ655366 UYF655366 VIB655366 VRX655366 WBT655366 WLP655366 WVL655366 D720902 IZ720902 SV720902 ACR720902 AMN720902 AWJ720902 BGF720902 BQB720902 BZX720902 CJT720902 CTP720902 DDL720902 DNH720902 DXD720902 EGZ720902 EQV720902 FAR720902 FKN720902 FUJ720902 GEF720902 GOB720902 GXX720902 HHT720902 HRP720902 IBL720902 ILH720902 IVD720902 JEZ720902 JOV720902 JYR720902 KIN720902 KSJ720902 LCF720902 LMB720902 LVX720902 MFT720902 MPP720902 MZL720902 NJH720902 NTD720902 OCZ720902 OMV720902 OWR720902 PGN720902 PQJ720902 QAF720902 QKB720902 QTX720902 RDT720902 RNP720902 RXL720902 SHH720902 SRD720902 TAZ720902 TKV720902 TUR720902 UEN720902 UOJ720902 UYF720902 VIB720902 VRX720902 WBT720902 WLP720902 WVL720902 D786438 IZ786438 SV786438 ACR786438 AMN786438 AWJ786438 BGF786438 BQB786438 BZX786438 CJT786438 CTP786438 DDL786438 DNH786438 DXD786438 EGZ786438 EQV786438 FAR786438 FKN786438 FUJ786438 GEF786438 GOB786438 GXX786438 HHT786438 HRP786438 IBL786438 ILH786438 IVD786438 JEZ786438 JOV786438 JYR786438 KIN786438 KSJ786438 LCF786438 LMB786438 LVX786438 MFT786438 MPP786438 MZL786438 NJH786438 NTD786438 OCZ786438 OMV786438 OWR786438 PGN786438 PQJ786438 QAF786438 QKB786438 QTX786438 RDT786438 RNP786438 RXL786438 SHH786438 SRD786438 TAZ786438 TKV786438 TUR786438 UEN786438 UOJ786438 UYF786438 VIB786438 VRX786438 WBT786438 WLP786438 WVL786438 D851974 IZ851974 SV851974 ACR851974 AMN851974 AWJ851974 BGF851974 BQB851974 BZX851974 CJT851974 CTP851974 DDL851974 DNH851974 DXD851974 EGZ851974 EQV851974 FAR851974 FKN851974 FUJ851974 GEF851974 GOB851974 GXX851974 HHT851974 HRP851974 IBL851974 ILH851974 IVD851974 JEZ851974 JOV851974 JYR851974 KIN851974 KSJ851974 LCF851974 LMB851974 LVX851974 MFT851974 MPP851974 MZL851974 NJH851974 NTD851974 OCZ851974 OMV851974 OWR851974 PGN851974 PQJ851974 QAF851974 QKB851974 QTX851974 RDT851974 RNP851974 RXL851974 SHH851974 SRD851974 TAZ851974 TKV851974 TUR851974 UEN851974 UOJ851974 UYF851974 VIB851974 VRX851974 WBT851974 WLP851974 WVL851974 D917510 IZ917510 SV917510 ACR917510 AMN917510 AWJ917510 BGF917510 BQB917510 BZX917510 CJT917510 CTP917510 DDL917510 DNH917510 DXD917510 EGZ917510 EQV917510 FAR917510 FKN917510 FUJ917510 GEF917510 GOB917510 GXX917510 HHT917510 HRP917510 IBL917510 ILH917510 IVD917510 JEZ917510 JOV917510 JYR917510 KIN917510 KSJ917510 LCF917510 LMB917510 LVX917510 MFT917510 MPP917510 MZL917510 NJH917510 NTD917510 OCZ917510 OMV917510 OWR917510 PGN917510 PQJ917510 QAF917510 QKB917510 QTX917510 RDT917510 RNP917510 RXL917510 SHH917510 SRD917510 TAZ917510 TKV917510 TUR917510 UEN917510 UOJ917510 UYF917510 VIB917510 VRX917510 WBT917510 WLP917510 WVL917510 D983046 IZ983046 SV983046 ACR983046 AMN983046 AWJ983046 BGF983046 BQB983046 BZX983046 CJT983046 CTP983046 DDL983046 DNH983046 DXD983046 EGZ983046 EQV983046 FAR983046 FKN983046 FUJ983046 GEF983046 GOB983046 GXX983046 HHT983046 HRP983046 IBL983046 ILH983046 IVD983046 JEZ983046 JOV983046 JYR983046 KIN983046 KSJ983046 LCF983046 LMB983046 LVX983046 MFT983046 MPP983046 MZL983046 NJH983046 NTD983046 OCZ983046 OMV983046 OWR983046 PGN983046 PQJ983046 QAF983046 QKB983046 QTX983046 RDT983046 RNP983046 RXL983046 SHH983046 SRD983046 TAZ983046 TKV983046 TUR983046 UEN983046 UOJ983046 UYF983046 VIB983046 VRX983046 WBT983046 WLP983046 WVL983046" xr:uid="{00000000-0002-0000-0000-000000000000}">
      <formula1>#REF!</formula1>
    </dataValidation>
  </dataValidations>
  <pageMargins left="0.7" right="0.7" top="0.75" bottom="0.75" header="0.3" footer="0.3"/>
  <pageSetup orientation="portrait" verticalDpi="0"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Pipeline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LONG HOA</dc:creator>
  <cp:lastModifiedBy>2051120086 - Nguyễn Võ Đình Anh - CN20A</cp:lastModifiedBy>
  <cp:lastPrinted>2024-04-12T04:05:07Z</cp:lastPrinted>
  <dcterms:created xsi:type="dcterms:W3CDTF">2024-01-12T08:24:21Z</dcterms:created>
  <dcterms:modified xsi:type="dcterms:W3CDTF">2026-06-20T09:24:55Z</dcterms:modified>
</cp:coreProperties>
</file>