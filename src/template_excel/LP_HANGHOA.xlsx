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C74A225-D4F8-478D-9A34-77E07DEEDE54}" xr6:coauthVersionLast="47" xr6:coauthVersionMax="47" xr10:uidLastSave="{00000000-0000-0000-0000-000000000000}"/>
  <bookViews>
    <workbookView xWindow="28680" yWindow="-900" windowWidth="29040" windowHeight="15720" tabRatio="953" xr2:uid="{00000000-000D-0000-FFFF-FFFF00000000}"/>
  </bookViews>
  <sheets>
    <sheet name="XGS - Desktop" sheetId="1" r:id="rId1"/>
    <sheet name="XGS - 1U" sheetId="3" r:id="rId2"/>
    <sheet name="XGS - 2U" sheetId="4" r:id="rId3"/>
    <sheet name="Virtual FW" sheetId="6" r:id="rId4"/>
    <sheet name="ZTNA - NDR - Central Reporting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3" l="1"/>
  <c r="E30" i="3"/>
  <c r="E32" i="3"/>
  <c r="D33" i="1"/>
  <c r="E8" i="3"/>
  <c r="E49" i="3"/>
  <c r="D47" i="3"/>
  <c r="D45" i="3"/>
  <c r="D35" i="6"/>
  <c r="D30" i="6"/>
  <c r="D25" i="6"/>
  <c r="D20" i="6"/>
  <c r="D15" i="6"/>
  <c r="D10" i="6"/>
  <c r="D5" i="6"/>
</calcChain>
</file>

<file path=xl/sharedStrings.xml><?xml version="1.0" encoding="utf-8"?>
<sst xmlns="http://schemas.openxmlformats.org/spreadsheetml/2006/main" count="228" uniqueCount="183">
  <si>
    <t>STT</t>
  </si>
  <si>
    <r>
      <rPr>
        <b/>
        <sz val="11"/>
        <color theme="1"/>
        <rFont val="Aptos Narrow"/>
        <family val="2"/>
        <scheme val="minor"/>
      </rPr>
      <t>1-Year Xstream Protection Subscription for XGS 88: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</si>
  <si>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88 Hardware Appliance:</t>
    </r>
    <r>
      <rPr>
        <sz val="11"/>
        <color theme="1"/>
        <rFont val="Aptos Narrow"/>
        <family val="2"/>
        <scheme val="minor"/>
      </rPr>
      <t xml:space="preserve">
XGS 88 HW appliance with 4x 2.5GE ports, flash memory + Base License (incl. FW, VPN, and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</si>
  <si>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XGS108: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</si>
  <si>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108 Hardware Appliance:</t>
    </r>
    <r>
      <rPr>
        <sz val="11"/>
        <color theme="1"/>
        <rFont val="Aptos Narrow"/>
        <family val="2"/>
        <scheme val="minor"/>
      </rPr>
      <t xml:space="preserve">
XGS 108 HW Appliance with 6x 2.5GE + 1 SFP port, SSD + Base License (incl. FW, VPN, and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</si>
  <si>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XGS118: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</si>
  <si>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118 Hardware Appliance:</t>
    </r>
    <r>
      <rPr>
        <sz val="11"/>
        <color theme="1"/>
        <rFont val="Aptos Narrow"/>
        <family val="2"/>
        <scheme val="minor"/>
      </rPr>
      <t xml:space="preserve">
XGS 118 HW Appliance with  9x 2.5GE + 1 SFP port, 1 expansion bay for optional 5G module, SSD + Base License (incl. FW, VPN, and Wireless) for unlimited users + power cable.</t>
    </r>
  </si>
  <si>
    <t>MÃ SP</t>
  </si>
  <si>
    <t>MÔ TẢ SẢN PHẨM</t>
  </si>
  <si>
    <t>GIÁ THAM KHẢO (USD)</t>
  </si>
  <si>
    <r>
      <rPr>
        <b/>
        <sz val="11"/>
        <color theme="1"/>
        <rFont val="Aptos Narrow"/>
        <family val="2"/>
        <scheme val="minor"/>
      </rPr>
      <t>1-Year Xstream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</si>
  <si>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</si>
  <si>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128 Hardware Appliance:</t>
    </r>
    <r>
      <rPr>
        <sz val="11"/>
        <color theme="1"/>
        <rFont val="Aptos Narrow"/>
        <family val="2"/>
        <scheme val="minor"/>
      </rPr>
      <t xml:space="preserve">
XGS 128 HW Appliance with  9x 2.5GE + 1 SFP port, 1 expansion bay for optional 5G module, SSD + Base License (incl. FW, VPN, and Wireless) for unlimited users + power cable</t>
    </r>
  </si>
  <si>
    <r>
      <rPr>
        <b/>
        <sz val="11"/>
        <color theme="1"/>
        <rFont val="Aptos Narrow"/>
        <family val="2"/>
        <scheme val="minor"/>
      </rPr>
      <t>Sophos XGS 138 Hardware Appliance:</t>
    </r>
    <r>
      <rPr>
        <sz val="11"/>
        <color theme="1"/>
        <rFont val="Aptos Narrow"/>
        <family val="2"/>
        <scheme val="minor"/>
      </rPr>
      <t xml:space="preserve">
XGS 138 HW Appliance with 4 GE + 2x 2.5GE + 2 SFP+ ports, 1 expansion bay for optional 5G module, SSD + Base License (incl. FW, VPN, and Wireless) for unlimited users + power cable</t>
    </r>
  </si>
  <si>
    <r>
      <rPr>
        <b/>
        <sz val="11"/>
        <color theme="1"/>
        <rFont val="Aptos Narrow"/>
        <family val="2"/>
        <scheme val="minor"/>
      </rPr>
      <t>1-Year Xstream Protection Subscription for XGS 2100: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</si>
  <si>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2100 Hardware Appliance:</t>
    </r>
    <r>
      <rPr>
        <sz val="11"/>
        <color theme="1"/>
        <rFont val="Aptos Narrow"/>
        <family val="2"/>
        <scheme val="minor"/>
      </rPr>
      <t xml:space="preserve">
XGS 2100 HW Appliance with 8 GE + 2 SFP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</si>
  <si>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2300 Hardware Appliance:</t>
    </r>
    <r>
      <rPr>
        <sz val="11"/>
        <color theme="1"/>
        <rFont val="Aptos Narrow"/>
        <family val="2"/>
        <scheme val="minor"/>
      </rPr>
      <t xml:space="preserve">
XGS 2300 HW Appliance with 8 GE + 2 SFP ports, 1 expansion bay for optional Flexi Port module, SSD + Base License (incl. FW, VPN &amp; Wireless) for unlimited users + power cable.</t>
    </r>
  </si>
  <si>
    <t>Sophos XGS3100</t>
  </si>
  <si>
    <t>XGS3100</t>
  </si>
  <si>
    <r>
      <rPr>
        <b/>
        <sz val="11"/>
        <color theme="1"/>
        <rFont val="Aptos Narrow"/>
        <family val="2"/>
        <scheme val="minor"/>
      </rPr>
      <t>1-Year Xstream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</si>
  <si>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XGS3300</t>
  </si>
  <si>
    <r>
      <rPr>
        <b/>
        <sz val="11"/>
        <color theme="1"/>
        <rFont val="Aptos Narrow"/>
        <family val="2"/>
        <scheme val="minor"/>
      </rPr>
      <t>Sophos XGS 3100 Hardware Appliance:</t>
    </r>
    <r>
      <rPr>
        <sz val="11"/>
        <color theme="1"/>
        <rFont val="Aptos Narrow"/>
        <family val="2"/>
        <scheme val="minor"/>
      </rPr>
      <t xml:space="preserve">
XGS 3100 HW Appliance with 8 GE + 2 SFP + 2 SFP+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</si>
  <si>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3300 Hardware Appliance:</t>
    </r>
    <r>
      <rPr>
        <sz val="11"/>
        <color theme="1"/>
        <rFont val="Aptos Narrow"/>
        <family val="2"/>
        <scheme val="minor"/>
      </rPr>
      <t xml:space="preserve">
XGS 3300 HW Appliance with 8 GE + 2 SFP + 2 SFP+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</si>
  <si>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4300 Hardware Appliance:</t>
    </r>
    <r>
      <rPr>
        <sz val="11"/>
        <color theme="1"/>
        <rFont val="Aptos Narrow"/>
        <family val="2"/>
        <scheme val="minor"/>
      </rPr>
      <t xml:space="preserve">
XGS 4300 HW Appliance with 4 GE + 4x 2.5GE + 4 SFP+ ports, 2 expansion bays for optional Flexi Port modules,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</si>
  <si>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4500 Hardware Appliance:</t>
    </r>
    <r>
      <rPr>
        <sz val="11"/>
        <color theme="1"/>
        <rFont val="Aptos Narrow"/>
        <family val="2"/>
        <scheme val="minor"/>
      </rPr>
      <t xml:space="preserve">
XGS 4500 HW Appliance with 4 GE + 4x 2.5GE + 4 SFP+ ports, 2 expansion bays for optional Flexi Port modules, 2 x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</si>
  <si>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 2300: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</si>
  <si>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 3300: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</si>
  <si>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 4300: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</si>
  <si>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XGS 88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</si>
  <si>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88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</si>
  <si>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108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</si>
  <si>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108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</si>
  <si>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118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</si>
  <si>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118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</si>
  <si>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128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</si>
  <si>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128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</si>
  <si>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138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</si>
  <si>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138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</si>
  <si>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1-CORE</t>
  </si>
  <si>
    <r>
      <rPr>
        <b/>
        <sz val="11"/>
        <color theme="1"/>
        <rFont val="Aptos Narrow"/>
        <family val="2"/>
        <scheme val="minor"/>
      </rPr>
      <t>1-Year Xstream Protection Subscription for SFv1C4: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</si>
  <si>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SFv1C4</t>
  </si>
  <si>
    <r>
      <rPr>
        <b/>
        <sz val="11"/>
        <color theme="1"/>
        <rFont val="Aptos Narrow"/>
        <family val="2"/>
        <scheme val="minor"/>
      </rPr>
      <t>SF SW/Virtual UP TO 1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</si>
  <si>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Email Protection Subscription for SFv1C4: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</si>
  <si>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SFv1C4:
</t>
    </r>
    <r>
      <rPr>
        <sz val="11"/>
        <color theme="1"/>
        <rFont val="Aptos Narrow"/>
        <family val="2"/>
        <scheme val="minor"/>
      </rPr>
      <t>Features: Web Application Firewall.</t>
    </r>
  </si>
  <si>
    <t>SFv2C4</t>
  </si>
  <si>
    <t>Sophos Virtual/Software Firewall 2 CORES</t>
  </si>
  <si>
    <r>
      <rPr>
        <b/>
        <sz val="11"/>
        <color theme="1"/>
        <rFont val="Aptos Narrow"/>
        <family val="2"/>
        <scheme val="minor"/>
      </rPr>
      <t>SF SW/Virtual UP TO 2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</si>
  <si>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SFv2C4: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</si>
  <si>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SFv2C4: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</si>
  <si>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SFv2C4: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</si>
  <si>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4 CORES</t>
  </si>
  <si>
    <r>
      <rPr>
        <b/>
        <sz val="11"/>
        <color theme="1"/>
        <rFont val="Aptos Narrow"/>
        <family val="2"/>
        <scheme val="minor"/>
      </rPr>
      <t>SF SW/Virtual UP TO 4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</si>
  <si>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SFv4C6: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</si>
  <si>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SFv4C6: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</si>
  <si>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SFv4C6:
</t>
    </r>
    <r>
      <rPr>
        <sz val="11"/>
        <color theme="1"/>
        <rFont val="Aptos Narrow"/>
        <family val="2"/>
        <scheme val="minor"/>
      </rPr>
      <t>Features: Web Application Firewall.</t>
    </r>
  </si>
  <si>
    <t>SFv4C6</t>
  </si>
  <si>
    <t>Sophos Virtual/Software Firewall 6 CORES</t>
  </si>
  <si>
    <r>
      <rPr>
        <b/>
        <sz val="11"/>
        <color theme="1"/>
        <rFont val="Aptos Narrow"/>
        <family val="2"/>
        <scheme val="minor"/>
      </rPr>
      <t>SF SW/Virtual UP TO 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</si>
  <si>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SFv6C8</t>
  </si>
  <si>
    <r>
      <rPr>
        <b/>
        <sz val="11"/>
        <color theme="1"/>
        <rFont val="Aptos Narrow"/>
        <family val="2"/>
        <scheme val="minor"/>
      </rPr>
      <t>1-Year Xstream Protection Subscription for SFv6C8: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</si>
  <si>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SFv6C8: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</si>
  <si>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SFv6C8: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</si>
  <si>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8 CORES</t>
  </si>
  <si>
    <r>
      <rPr>
        <b/>
        <sz val="11"/>
        <color theme="1"/>
        <rFont val="Aptos Narrow"/>
        <family val="2"/>
        <scheme val="minor"/>
      </rPr>
      <t>SF SW/Virtual UP TO 8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</si>
  <si>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SFv8C16</t>
  </si>
  <si>
    <r>
      <rPr>
        <b/>
        <sz val="11"/>
        <color theme="1"/>
        <rFont val="Aptos Narrow"/>
        <family val="2"/>
        <scheme val="minor"/>
      </rPr>
      <t>1-Year Xstream Protection Subscription for SFv8C16: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</si>
  <si>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SFv8C16: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</si>
  <si>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SFv8C16: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</si>
  <si>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16 CORES</t>
  </si>
  <si>
    <r>
      <rPr>
        <b/>
        <sz val="11"/>
        <color theme="1"/>
        <rFont val="Aptos Narrow"/>
        <family val="2"/>
        <scheme val="minor"/>
      </rPr>
      <t>SF SW/Virtual UP TO 16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</si>
  <si>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SFv16C24: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</si>
  <si>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SFv16C24</t>
  </si>
  <si>
    <r>
      <rPr>
        <b/>
        <sz val="11"/>
        <color theme="1"/>
        <rFont val="Aptos Narrow"/>
        <family val="2"/>
        <scheme val="minor"/>
      </rPr>
      <t>1-Year Email Protection Subscription for SFv16C24: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</si>
  <si>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SFv16C24: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</si>
  <si>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Unlimited CORES</t>
  </si>
  <si>
    <t>SFv-Unlimited</t>
  </si>
  <si>
    <r>
      <rPr>
        <b/>
        <sz val="11"/>
        <color theme="1"/>
        <rFont val="Aptos Narrow"/>
        <family val="2"/>
        <scheme val="minor"/>
      </rPr>
      <t>SF SW/Virtual Firewall Unlimited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</si>
  <si>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SFv-Unlimited: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</si>
  <si>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SFv-Unlimited: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</si>
  <si>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SFv-Unlimited: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</si>
  <si>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2100: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</si>
  <si>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2100: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</si>
  <si>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2300: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</si>
  <si>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</si>
  <si>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3100: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</si>
  <si>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3100: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</si>
  <si>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3300: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</si>
  <si>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</si>
  <si>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4300: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</si>
  <si>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4300: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</si>
  <si>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4500: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</si>
  <si>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>1-Year Central Zero Trust Network Access: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</si>
  <si>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t>CZTNA</t>
  </si>
  <si>
    <t>Range: 10-24</t>
  </si>
  <si>
    <t>Range: 25-49</t>
  </si>
  <si>
    <t>Range: 50-99</t>
  </si>
  <si>
    <t>Range: 100-199</t>
  </si>
  <si>
    <t>Range: 200-499</t>
  </si>
  <si>
    <r>
      <t xml:space="preserve">Sophos Central Zero Trust Network Access (ZTNA):
</t>
    </r>
    <r>
      <rPr>
        <i/>
        <sz val="11"/>
        <color rgb="FFFF0000"/>
        <rFont val="Aptos Narrow"/>
        <family val="2"/>
        <scheme val="minor"/>
      </rPr>
      <t xml:space="preserve"> - License per User.
 - Đơn giá theo Range.</t>
    </r>
  </si>
  <si>
    <t>Range Block: 1-9</t>
  </si>
  <si>
    <t>Range User: 1-9</t>
  </si>
  <si>
    <t>CFR</t>
  </si>
  <si>
    <r>
      <rPr>
        <b/>
        <sz val="11"/>
        <color theme="1"/>
        <rFont val="Aptos Narrow"/>
        <family val="2"/>
        <scheme val="minor"/>
      </rPr>
      <t>1-Year Central Firewall Reporting Advanced: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</si>
  <si>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t xml:space="preserve">Sophos Central Firewall Reporting Advanced (CFR):
</t>
    </r>
    <r>
      <rPr>
        <i/>
        <sz val="11"/>
        <color rgb="FFFF0000"/>
        <rFont val="Aptos Narrow"/>
        <family val="2"/>
        <scheme val="minor"/>
      </rPr>
      <t xml:space="preserve"> - Quản lý tập trung và lưu log và report tập trung tất cả Firewall Sopphos trên Cloud.
 - License tính theo BLOCK (mỗi BLOCK = 100GB).
 - Số lượng BLOCK mua tối thiểu &gt;= số lượng FW cần quản lý.</t>
    </r>
  </si>
  <si>
    <t>Range: 50-999</t>
  </si>
  <si>
    <t>Range: 1000-1999</t>
  </si>
  <si>
    <t>NDR</t>
  </si>
  <si>
    <r>
      <t xml:space="preserve">Sophos Network Detection &amp; Response (NDR):
</t>
    </r>
    <r>
      <rPr>
        <i/>
        <sz val="11"/>
        <color rgb="FFFF0000"/>
        <rFont val="Aptos Narrow"/>
        <family val="2"/>
        <scheme val="minor"/>
      </rPr>
      <t xml:space="preserve"> - Hệ thống Phân tích bất thường mạng &amp; Phát hiện mã độc mạng.
 - License tính theo USER + SERVER.
</t>
    </r>
    <r>
      <rPr>
        <b/>
        <i/>
        <u/>
        <sz val="11"/>
        <color rgb="FFFF0000"/>
        <rFont val="Aptos Narrow"/>
        <family val="2"/>
        <scheme val="minor"/>
      </rPr>
      <t xml:space="preserve"> - Note: Tích hợp với MDR / XDR &amp; Sophos Firewall</t>
    </r>
  </si>
  <si>
    <t>Range User + Server : 1-9</t>
  </si>
  <si>
    <r>
      <rPr>
        <b/>
        <sz val="11"/>
        <color theme="1"/>
        <rFont val="Aptos Narrow"/>
        <family val="2"/>
        <scheme val="minor"/>
      </rPr>
      <t>1-Year Network Detection and Response: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</si>
  <si>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t>Range: 500-999</t>
  </si>
  <si>
    <r>
      <rPr>
        <b/>
        <sz val="11"/>
        <color theme="1"/>
        <rFont val="Arial"/>
        <family val="2"/>
      </rPr>
      <t>Sophos XGS 5500 Hardware Appliance:</t>
    </r>
    <r>
      <rPr>
        <sz val="11"/>
        <color theme="1"/>
        <rFont val="Arial"/>
        <family val="2"/>
      </rPr>
      <t xml:space="preserve">
XGS 5500 HW Appliance with 8 GE + 8 SFP+ ports, 2+1 expansion bays for optional Flexi Port modules (1x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</si>
  <si>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5500: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</si>
  <si>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5500: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</si>
  <si>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5500: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</si>
  <si>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6500 Hardware Appliance:</t>
    </r>
    <r>
      <rPr>
        <sz val="11"/>
        <color theme="1"/>
        <rFont val="Arial"/>
        <family val="2"/>
      </rPr>
      <t xml:space="preserve">
XGS 6500 HW Appliance with 8 GE + 12 SFP+ ports,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</si>
  <si>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6500: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</si>
  <si>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6500: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</si>
  <si>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6500: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</si>
  <si>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7500 Hardware Appliance:</t>
    </r>
    <r>
      <rPr>
        <sz val="11"/>
        <color theme="1"/>
        <rFont val="Arial"/>
        <family val="2"/>
      </rPr>
      <t xml:space="preserve">
XGS 7500 HW Appliance with 8 GE + 12 SFP+ ports, 2 QSFP28 (up to 40 Gbps),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</si>
  <si>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7500: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</si>
  <si>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7500: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</si>
  <si>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7500: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</si>
  <si>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8500 Hardware Appliance:</t>
    </r>
    <r>
      <rPr>
        <sz val="11"/>
        <color theme="1"/>
        <rFont val="Arial"/>
        <family val="2"/>
      </rPr>
      <t xml:space="preserve">
XGS 8500 HW Appliance with 8 GE + 12 SFP+ ports, 2 QSFP28 (up to 100 Gbps),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</si>
  <si>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8500: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</si>
  <si>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8500: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</si>
  <si>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8500:
</t>
    </r>
    <r>
      <rPr>
        <sz val="11"/>
        <color theme="1"/>
        <rFont val="Arial"/>
        <family val="2"/>
      </rPr>
      <t>Features: Web Application Firewall.</t>
    </r>
  </si>
  <si>
    <t>Sophos XGS 6500</t>
  </si>
  <si>
    <t>XGS 5500</t>
  </si>
  <si>
    <t>XGS 6500</t>
  </si>
  <si>
    <t>Sophos XGS 7500</t>
  </si>
  <si>
    <t>XGS 7500</t>
  </si>
  <si>
    <t>Sophos XGS 8500</t>
  </si>
  <si>
    <t>USD = 26,200 VNĐ</t>
  </si>
  <si>
    <t>BOM SOPHOS FIREWALL XGS</t>
  </si>
  <si>
    <t>Sophos XGS 5500</t>
  </si>
  <si>
    <t>XGS 8500</t>
  </si>
  <si>
    <t>BOM SOPHOS VIRTUAL FIREWALL SOFTWARE</t>
  </si>
  <si>
    <t>CÁC GÓI ADD-ON với SOPHOS FIREWALL</t>
  </si>
  <si>
    <t>BOM SOPHOS XGS FIREWALL</t>
  </si>
  <si>
    <t>Sophos XGS 2100</t>
  </si>
  <si>
    <t>Sophos XGS 2300</t>
  </si>
  <si>
    <t>XGS 2300</t>
  </si>
  <si>
    <t>Sophos XGS 3300</t>
  </si>
  <si>
    <t>Sophos XGS 4300</t>
  </si>
  <si>
    <t>XGS 4500</t>
  </si>
  <si>
    <t>Sophos XGS 4500</t>
  </si>
  <si>
    <t>Sophos XGS 88</t>
  </si>
  <si>
    <t>XGS 88</t>
  </si>
  <si>
    <t>Sophos XGS 108</t>
  </si>
  <si>
    <t>XGS 108</t>
  </si>
  <si>
    <t>XGS 118</t>
  </si>
  <si>
    <t>Sophos XGS 118</t>
  </si>
  <si>
    <t>Sophos XGS 128</t>
  </si>
  <si>
    <t>Sophos XGS 138</t>
  </si>
  <si>
    <t>XGS 138</t>
  </si>
  <si>
    <t>XGS 128</t>
  </si>
  <si>
    <t>XGS 2100</t>
  </si>
  <si>
    <t>1-Year Enhanced To Enhanced Plus Upgrade</t>
  </si>
  <si>
    <r>
      <rPr>
        <b/>
        <sz val="11"/>
        <color theme="1"/>
        <rFont val="Aptos Narrow"/>
        <family val="2"/>
        <scheme val="minor"/>
      </rPr>
      <t>1-Year Standard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</si>
  <si>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3-Year Xstream Protection Subscription for XGS 4500: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</si>
  <si>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3-Year Xstream Protection Subscription for XGS 4500</t>
  </si>
  <si>
    <r>
      <rPr>
        <b/>
        <sz val="11"/>
        <color theme="1"/>
        <rFont val="Aptos Narrow"/>
        <family val="2"/>
        <scheme val="minor"/>
      </rPr>
      <t>1-Year Standard Protection Subscription for XGS4300: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</si>
  <si>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 xml:space="preserve">3-Year Webserver Protection Subscription for XGS 4500: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</si>
  <si>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Standard Protection Subscription for XGS2100: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</si>
  <si>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1-Year Standard Protection Subscription for XG2300: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</si>
  <si>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1-Year Standard Protection Subscription for XGS3300: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</si>
  <si>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UP310012ZZNCAA</t>
  </si>
  <si>
    <r>
      <rPr>
        <b/>
        <sz val="11"/>
        <color theme="1"/>
        <rFont val="Aptos Narrow"/>
        <family val="2"/>
        <scheme val="minor"/>
      </rPr>
      <t>1-Year Network Protection Subscription for XGS 3100</t>
    </r>
    <r>
      <rPr>
        <sz val="11"/>
        <color theme="1"/>
        <rFont val="Aptos Narrow"/>
        <family val="2"/>
        <scheme val="minor"/>
      </rPr>
      <t>:
Xstream TLS and DPI engine, IPS, ATP, 
Security Heartbeat, SD-RED VPN, reporting</t>
    </r>
  </si>
  <si>
    <r>
      <rPr>
        <b/>
        <sz val="11"/>
        <color theme="1"/>
        <rFont val="Aptos Narrow"/>
        <family val="2"/>
        <scheme val="minor"/>
      </rPr>
      <t>1-Year  Enhanced Support for XGS 3100</t>
    </r>
    <r>
      <rPr>
        <sz val="11"/>
        <color theme="1"/>
        <rFont val="Aptos Narrow"/>
        <family val="2"/>
        <scheme val="minor"/>
      </rPr>
      <t>:
24/7 support, feature updates, advanced 
replacement hardware warranty for term</t>
    </r>
  </si>
  <si>
    <t>NS310012ZZNCAA</t>
  </si>
  <si>
    <t>SE310012ZZNCAA</t>
  </si>
  <si>
    <t>SS310012ZZNCAA</t>
  </si>
  <si>
    <t>ES310012ZZNCAA</t>
  </si>
  <si>
    <t>SP310012ZZNCAA</t>
  </si>
  <si>
    <t>XS310012ZZNCAA</t>
  </si>
  <si>
    <t>ZD210012ZZNCAA</t>
  </si>
  <si>
    <t>1-Year  ZERO-DAY PROTECTION For XGS 2100:
Features:
- Dynamic Sandbox Analysis
- Threat Intelligence Analysis</t>
  </si>
  <si>
    <t>UP210012ZZNCAA</t>
  </si>
  <si>
    <r>
      <rPr>
        <b/>
        <sz val="11"/>
        <color theme="1"/>
        <rFont val="Aptos Narrow"/>
        <family val="2"/>
        <scheme val="minor"/>
      </rPr>
      <t>1-Year Standard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</si>
  <si>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XGS 4300
'XG4CTCHEUK</t>
  </si>
  <si>
    <t>UP430012ZZNCAA</t>
  </si>
  <si>
    <r>
      <rPr>
        <b/>
        <sz val="11"/>
        <color theme="1"/>
        <rFont val="Aptos Narrow"/>
        <family val="2"/>
        <scheme val="minor"/>
      </rPr>
      <t>1-Year Standard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</si>
</sst>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rgb="FFFF000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6"/>
      <color rgb="FFC00000"/>
      <name val="Aptos Narrow"/>
      <family val="2"/>
      <scheme val="minor"/>
    </font>
    <font>
      <b/>
      <sz val="16"/>
      <color rgb="FF003399"/>
      <name val="Aptos Narrow"/>
      <family val="2"/>
      <scheme val="minor"/>
    </font>
    <font>
      <b/>
      <sz val="18"/>
      <color rgb="FF003399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41"/>
      </patternFill>
    </fill>
    <fill>
      <patternFill patternType="solid">
        <fgColor theme="6" tint="0.79998168889431442"/>
        <bgColor indexed="41"/>
      </patternFill>
    </fill>
    <fill>
      <patternFill patternType="solid">
        <fgColor theme="7" tint="0.79998168889431442"/>
        <bgColor indexed="4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4" borderId="0" applyFill="0">
      <alignment horizontal="right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7">
    <xf numFmtId="0" fontId="0" fillId="0" borderId="0" xfId="0"/>
    <xf numFmtId="164" fontId="2" fillId="0" borderId="3" xfId="1" applyNumberFormat="1" applyFont="1" applyBorder="1" applyAlignment="1">
      <alignment vertical="center"/>
    </xf>
    <xf numFmtId="164" fontId="2" fillId="3" borderId="3" xfId="1" applyNumberFormat="1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15" xfId="1" applyNumberFormat="1" applyFont="1" applyBorder="1" applyAlignment="1">
      <alignment vertical="center"/>
    </xf>
    <xf numFmtId="164" fontId="2" fillId="0" borderId="16" xfId="1" applyNumberFormat="1" applyFont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 wrapText="1"/>
    </xf>
    <xf numFmtId="43" fontId="2" fillId="0" borderId="15" xfId="1" applyFont="1" applyBorder="1" applyAlignment="1">
      <alignment vertical="center"/>
    </xf>
    <xf numFmtId="43" fontId="2" fillId="0" borderId="16" xfId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4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4" fillId="7" borderId="8" xfId="2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7" borderId="10" xfId="2" applyFont="1" applyFill="1" applyBorder="1" applyAlignment="1">
      <alignment horizontal="center" vertical="center"/>
    </xf>
    <xf numFmtId="0" fontId="4" fillId="6" borderId="8" xfId="2" applyFont="1" applyFill="1" applyBorder="1" applyAlignment="1">
      <alignment horizontal="center" vertical="center"/>
    </xf>
    <xf numFmtId="0" fontId="4" fillId="6" borderId="9" xfId="2" applyFont="1" applyFill="1" applyBorder="1" applyAlignment="1">
      <alignment horizontal="center" vertical="center"/>
    </xf>
    <xf numFmtId="0" fontId="4" fillId="6" borderId="10" xfId="2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vertical="center"/>
    </xf>
    <xf numFmtId="0" fontId="10" fillId="9" borderId="3" xfId="0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14" fillId="11" borderId="3" xfId="0" applyFont="1" applyFill="1" applyBorder="1" applyAlignment="1">
      <alignment vertical="center"/>
    </xf>
    <xf numFmtId="0" fontId="10" fillId="11" borderId="3" xfId="0" applyFont="1" applyFill="1" applyBorder="1" applyAlignment="1">
      <alignment vertical="center"/>
    </xf>
    <xf numFmtId="0" fontId="14" fillId="12" borderId="3" xfId="0" applyFont="1" applyFill="1" applyBorder="1" applyAlignment="1">
      <alignment vertical="center"/>
    </xf>
    <xf numFmtId="0" fontId="10" fillId="12" borderId="3" xfId="0" applyFont="1" applyFill="1" applyBorder="1" applyAlignment="1">
      <alignment vertical="center"/>
    </xf>
    <xf numFmtId="0" fontId="13" fillId="5" borderId="3" xfId="2" applyFont="1" applyFill="1" applyBorder="1" applyAlignment="1">
      <alignment horizontal="center" vertical="center" wrapText="1"/>
    </xf>
    <xf numFmtId="4" fontId="13" fillId="5" borderId="3" xfId="2" applyNumberFormat="1" applyFont="1" applyFill="1" applyBorder="1" applyAlignment="1">
      <alignment horizontal="center" vertical="center" wrapText="1"/>
    </xf>
    <xf numFmtId="4" fontId="10" fillId="12" borderId="3" xfId="0" applyNumberFormat="1" applyFont="1" applyFill="1" applyBorder="1" applyAlignment="1">
      <alignment vertical="center"/>
    </xf>
    <xf numFmtId="4" fontId="14" fillId="0" borderId="3" xfId="1" applyNumberFormat="1" applyFont="1" applyBorder="1" applyAlignment="1">
      <alignment vertical="center"/>
    </xf>
    <xf numFmtId="4" fontId="14" fillId="3" borderId="3" xfId="1" applyNumberFormat="1" applyFont="1" applyFill="1" applyBorder="1" applyAlignment="1">
      <alignment vertical="center"/>
    </xf>
    <xf numFmtId="4" fontId="10" fillId="11" borderId="3" xfId="0" applyNumberFormat="1" applyFont="1" applyFill="1" applyBorder="1" applyAlignment="1">
      <alignment vertical="center"/>
    </xf>
    <xf numFmtId="4" fontId="10" fillId="8" borderId="3" xfId="0" applyNumberFormat="1" applyFont="1" applyFill="1" applyBorder="1" applyAlignment="1">
      <alignment vertical="center"/>
    </xf>
    <xf numFmtId="4" fontId="10" fillId="9" borderId="3" xfId="0" applyNumberFormat="1" applyFont="1" applyFill="1" applyBorder="1" applyAlignment="1">
      <alignment vertical="center"/>
    </xf>
    <xf numFmtId="4" fontId="10" fillId="0" borderId="0" xfId="0" applyNumberFormat="1" applyFont="1" applyAlignment="1">
      <alignment vertical="center"/>
    </xf>
    <xf numFmtId="0" fontId="0" fillId="13" borderId="0" xfId="0" applyFill="1" applyAlignment="1">
      <alignment vertical="center"/>
    </xf>
    <xf numFmtId="0" fontId="0" fillId="13" borderId="3" xfId="5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43" fontId="4" fillId="5" borderId="3" xfId="1" applyFont="1" applyFill="1" applyBorder="1" applyAlignment="1">
      <alignment horizontal="center" vertical="center" wrapText="1"/>
    </xf>
    <xf numFmtId="43" fontId="0" fillId="8" borderId="3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3" borderId="3" xfId="1" applyFont="1" applyFill="1" applyBorder="1" applyAlignment="1">
      <alignment vertical="center"/>
    </xf>
    <xf numFmtId="43" fontId="0" fillId="10" borderId="3" xfId="1" applyFont="1" applyFill="1" applyBorder="1" applyAlignment="1">
      <alignment vertical="center"/>
    </xf>
    <xf numFmtId="43" fontId="0" fillId="11" borderId="3" xfId="1" applyFont="1" applyFill="1" applyBorder="1" applyAlignment="1">
      <alignment vertical="center"/>
    </xf>
    <xf numFmtId="43" fontId="0" fillId="9" borderId="3" xfId="1" applyFont="1" applyFill="1" applyBorder="1" applyAlignment="1">
      <alignment vertical="center"/>
    </xf>
    <xf numFmtId="43" fontId="0" fillId="0" borderId="0" xfId="1" applyFont="1" applyAlignment="1">
      <alignment vertical="center"/>
    </xf>
    <xf numFmtId="0" fontId="2" fillId="0" borderId="3" xfId="0" applyFont="1" applyBorder="1" applyAlignment="1">
      <alignment vertical="center" wrapText="1"/>
    </xf>
    <xf numFmtId="43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13" borderId="3" xfId="0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43" fontId="18" fillId="0" borderId="0" xfId="0" applyNumberFormat="1" applyFont="1" applyAlignment="1">
      <alignment vertical="center"/>
    </xf>
    <xf numFmtId="0" fontId="2" fillId="13" borderId="3" xfId="5" applyFont="1" applyFill="1" applyBorder="1" applyAlignment="1">
      <alignment horizontal="left" vertical="center" wrapText="1"/>
    </xf>
    <xf numFmtId="165" fontId="0" fillId="0" borderId="0" xfId="0" applyNumberFormat="1" applyAlignment="1">
      <alignment vertical="center"/>
    </xf>
    <xf numFmtId="0" fontId="1" fillId="13" borderId="3" xfId="5" applyFill="1" applyBorder="1" applyAlignment="1">
      <alignment horizontal="left" vertical="center" wrapText="1"/>
    </xf>
    <xf numFmtId="43" fontId="2" fillId="0" borderId="3" xfId="8" applyFont="1" applyBorder="1" applyAlignment="1">
      <alignment vertical="center"/>
    </xf>
    <xf numFmtId="0" fontId="3" fillId="0" borderId="0" xfId="3" applyAlignment="1">
      <alignment vertical="center"/>
    </xf>
    <xf numFmtId="9" fontId="0" fillId="0" borderId="0" xfId="7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2" fillId="2" borderId="1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4" fillId="7" borderId="3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6" borderId="10" xfId="2" applyFont="1" applyFill="1" applyBorder="1" applyAlignment="1">
      <alignment horizontal="center" vertical="center" wrapText="1"/>
    </xf>
    <xf numFmtId="0" fontId="4" fillId="6" borderId="11" xfId="2" applyFont="1" applyFill="1" applyBorder="1" applyAlignment="1">
      <alignment horizontal="center" vertical="center" wrapText="1"/>
    </xf>
    <xf numFmtId="0" fontId="4" fillId="7" borderId="10" xfId="2" applyFont="1" applyFill="1" applyBorder="1" applyAlignment="1">
      <alignment horizontal="center" vertical="center" wrapText="1"/>
    </xf>
    <xf numFmtId="0" fontId="4" fillId="7" borderId="11" xfId="2" applyFont="1" applyFill="1" applyBorder="1" applyAlignment="1">
      <alignment horizontal="center" vertical="center" wrapText="1"/>
    </xf>
  </cellXfs>
  <cellStyles count="9">
    <cellStyle name="Comma" xfId="1" builtinId="3"/>
    <cellStyle name="Comma 14" xfId="6" xr:uid="{FE5BB8EC-47D5-47D7-A454-7453CDE23371}"/>
    <cellStyle name="Comma 2" xfId="8" xr:uid="{8F8507B4-C6A9-465F-B994-6CD99E5E8BD7}"/>
    <cellStyle name="Normal" xfId="0" builtinId="0"/>
    <cellStyle name="Normal 15" xfId="5" xr:uid="{9959E31A-74D3-453E-B6FB-64B414928B04}"/>
    <cellStyle name="Normal 2" xfId="3" xr:uid="{00000000-0005-0000-0000-000002000000}"/>
    <cellStyle name="Normal_Bao gia Kaspersky_SMB_02072007" xfId="2" xr:uid="{00000000-0005-0000-0000-000003000000}"/>
    <cellStyle name="Percent" xfId="7" builtinId="5"/>
    <cellStyle name="Price" xfId="4" xr:uid="{00000000-0005-0000-0000-000004000000}"/>
  </cellStyles>
  <dxfs count="0"/>
  <tableStyles count="0" defaultTableStyle="TableStyleMedium2" defaultPivotStyle="PivotStyleLight16"/>
  <colors>
    <mruColors>
      <color rgb="FF0033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90" zoomScaleNormal="90" workbookViewId="0">
      <selection activeCell="H7" sqref="H7"/>
    </sheetView>
  </sheetViews>
  <sheetFormatPr defaultColWidth="9" defaultRowHeight="15" x14ac:dyDescent="0.25"/>
  <cols>
    <col min="1" max="1" width="5.5703125" style="18" customWidth="1"/>
    <col min="2" max="2" width="13.42578125" style="18" customWidth="1"/>
    <col min="3" max="3" width="90.5703125" style="18" customWidth="1"/>
    <col min="4" max="4" width="19.85546875" style="18" customWidth="1"/>
    <col min="5" max="5" width="12.7109375" style="18" bestFit="1" customWidth="1"/>
    <col min="6" max="6" width="9" style="18"/>
    <col min="7" max="7" width="13.85546875" style="18" bestFit="1" customWidth="1"/>
    <col min="8" max="16384" width="9" style="18"/>
  </cols>
  <sheetData>
    <row r="1" spans="1:5" ht="33.200000000000003" customHeight="1" x14ac:dyDescent="0.25">
      <c r="A1" s="95" t="s">
        <v>139</v>
      </c>
      <c r="B1" s="95"/>
      <c r="C1" s="95"/>
      <c r="D1" s="95"/>
    </row>
    <row r="2" spans="1:5" ht="25.35" customHeight="1" x14ac:dyDescent="0.25">
      <c r="A2" s="96" t="s">
        <v>133</v>
      </c>
      <c r="B2" s="96"/>
      <c r="C2" s="97"/>
      <c r="D2" s="98"/>
    </row>
    <row r="3" spans="1:5" ht="15.75" thickBot="1" x14ac:dyDescent="0.3"/>
    <row r="4" spans="1:5" ht="31.5" x14ac:dyDescent="0.25">
      <c r="A4" s="39" t="s">
        <v>0</v>
      </c>
      <c r="B4" s="39" t="s">
        <v>7</v>
      </c>
      <c r="C4" s="40" t="s">
        <v>8</v>
      </c>
      <c r="D4" s="41" t="s">
        <v>9</v>
      </c>
    </row>
    <row r="5" spans="1:5" ht="19.350000000000001" customHeight="1" x14ac:dyDescent="0.25">
      <c r="A5" s="35" t="s">
        <v>147</v>
      </c>
      <c r="B5" s="36"/>
      <c r="C5" s="36"/>
      <c r="D5" s="36"/>
    </row>
    <row r="6" spans="1:5" ht="45" x14ac:dyDescent="0.25">
      <c r="A6" s="91">
        <v>1</v>
      </c>
      <c r="B6" s="87" t="s">
        <v>148</v>
      </c>
      <c r="C6" s="21" t="s">
        <v>2</v>
      </c>
      <c r="D6" s="1">
        <v>549</v>
      </c>
    </row>
    <row r="7" spans="1:5" ht="133.5" customHeight="1" x14ac:dyDescent="0.25">
      <c r="A7" s="92"/>
      <c r="B7" s="88"/>
      <c r="C7" s="21" t="s">
        <v>1</v>
      </c>
      <c r="D7" s="1">
        <v>395.5</v>
      </c>
    </row>
    <row r="8" spans="1:5" ht="36.6" customHeight="1" x14ac:dyDescent="0.25">
      <c r="A8" s="92"/>
      <c r="B8" s="88"/>
      <c r="C8" s="22" t="s">
        <v>28</v>
      </c>
      <c r="D8" s="2">
        <v>60</v>
      </c>
    </row>
    <row r="9" spans="1:5" ht="34.5" customHeight="1" x14ac:dyDescent="0.25">
      <c r="A9" s="93"/>
      <c r="B9" s="89"/>
      <c r="C9" s="22" t="s">
        <v>29</v>
      </c>
      <c r="D9" s="2">
        <v>60</v>
      </c>
    </row>
    <row r="10" spans="1:5" ht="21" customHeight="1" x14ac:dyDescent="0.25">
      <c r="A10" s="31" t="s">
        <v>149</v>
      </c>
      <c r="B10" s="32"/>
      <c r="C10" s="32"/>
      <c r="D10" s="32"/>
    </row>
    <row r="11" spans="1:5" ht="49.15" customHeight="1" x14ac:dyDescent="0.25">
      <c r="A11" s="91">
        <v>2</v>
      </c>
      <c r="B11" s="87" t="s">
        <v>150</v>
      </c>
      <c r="C11" s="21" t="s">
        <v>4</v>
      </c>
      <c r="D11" s="1">
        <v>721</v>
      </c>
      <c r="E11" s="77"/>
    </row>
    <row r="12" spans="1:5" ht="144.4" customHeight="1" x14ac:dyDescent="0.25">
      <c r="A12" s="92"/>
      <c r="B12" s="88"/>
      <c r="C12" s="21" t="s">
        <v>3</v>
      </c>
      <c r="D12" s="1">
        <v>433</v>
      </c>
    </row>
    <row r="13" spans="1:5" ht="34.15" customHeight="1" x14ac:dyDescent="0.25">
      <c r="A13" s="92"/>
      <c r="B13" s="88"/>
      <c r="C13" s="22" t="s">
        <v>30</v>
      </c>
      <c r="D13" s="2">
        <v>65</v>
      </c>
    </row>
    <row r="14" spans="1:5" ht="33.6" customHeight="1" x14ac:dyDescent="0.25">
      <c r="A14" s="93"/>
      <c r="B14" s="89"/>
      <c r="C14" s="22" t="s">
        <v>31</v>
      </c>
      <c r="D14" s="2">
        <v>65</v>
      </c>
    </row>
    <row r="15" spans="1:5" s="80" customFormat="1" ht="47.25" customHeight="1" x14ac:dyDescent="0.25">
      <c r="A15" s="85"/>
      <c r="B15" s="86"/>
      <c r="C15" s="73" t="s">
        <v>158</v>
      </c>
      <c r="D15" s="79">
        <v>72</v>
      </c>
    </row>
    <row r="16" spans="1:5" ht="29.25" customHeight="1" x14ac:dyDescent="0.25">
      <c r="A16" s="33" t="s">
        <v>152</v>
      </c>
      <c r="B16" s="34"/>
      <c r="C16" s="34"/>
      <c r="D16" s="34"/>
    </row>
    <row r="17" spans="1:7" ht="57.4" customHeight="1" x14ac:dyDescent="0.25">
      <c r="A17" s="91">
        <v>3</v>
      </c>
      <c r="B17" s="87" t="s">
        <v>151</v>
      </c>
      <c r="C17" s="21" t="s">
        <v>6</v>
      </c>
      <c r="D17" s="1">
        <v>919.5</v>
      </c>
      <c r="E17" s="77"/>
      <c r="G17" s="77"/>
    </row>
    <row r="18" spans="1:7" ht="133.15" customHeight="1" x14ac:dyDescent="0.25">
      <c r="A18" s="92"/>
      <c r="B18" s="88"/>
      <c r="C18" s="21" t="s">
        <v>5</v>
      </c>
      <c r="D18" s="1">
        <v>576.5</v>
      </c>
    </row>
    <row r="19" spans="1:7" ht="34.15" customHeight="1" x14ac:dyDescent="0.25">
      <c r="A19" s="92"/>
      <c r="B19" s="88"/>
      <c r="C19" s="22" t="s">
        <v>32</v>
      </c>
      <c r="D19" s="2">
        <v>87.5</v>
      </c>
    </row>
    <row r="20" spans="1:7" ht="35.450000000000003" customHeight="1" x14ac:dyDescent="0.25">
      <c r="A20" s="93"/>
      <c r="B20" s="89"/>
      <c r="C20" s="22" t="s">
        <v>33</v>
      </c>
      <c r="D20" s="2">
        <v>87.5</v>
      </c>
    </row>
    <row r="21" spans="1:7" s="80" customFormat="1" ht="47.25" customHeight="1" x14ac:dyDescent="0.25">
      <c r="A21" s="85"/>
      <c r="B21" s="86"/>
      <c r="C21" s="73" t="s">
        <v>158</v>
      </c>
      <c r="D21" s="79">
        <v>91.56</v>
      </c>
    </row>
    <row r="22" spans="1:7" ht="23.45" customHeight="1" x14ac:dyDescent="0.25">
      <c r="A22" s="31" t="s">
        <v>153</v>
      </c>
      <c r="B22" s="32"/>
      <c r="C22" s="32"/>
      <c r="D22" s="32"/>
    </row>
    <row r="23" spans="1:7" ht="51.4" customHeight="1" x14ac:dyDescent="0.25">
      <c r="A23" s="91">
        <v>4</v>
      </c>
      <c r="B23" s="82" t="s">
        <v>156</v>
      </c>
      <c r="C23" s="21" t="s">
        <v>12</v>
      </c>
      <c r="D23" s="1">
        <v>1250</v>
      </c>
    </row>
    <row r="24" spans="1:7" ht="137.1" customHeight="1" x14ac:dyDescent="0.25">
      <c r="A24" s="92"/>
      <c r="B24" s="83"/>
      <c r="C24" s="21" t="s">
        <v>10</v>
      </c>
      <c r="D24" s="1">
        <v>766.5</v>
      </c>
    </row>
    <row r="25" spans="1:7" ht="33.200000000000003" customHeight="1" x14ac:dyDescent="0.25">
      <c r="A25" s="92"/>
      <c r="B25" s="83"/>
      <c r="C25" s="22" t="s">
        <v>34</v>
      </c>
      <c r="D25" s="2">
        <v>115.56</v>
      </c>
    </row>
    <row r="26" spans="1:7" ht="119.1" customHeight="1" x14ac:dyDescent="0.25">
      <c r="A26" s="92"/>
      <c r="B26" s="83"/>
      <c r="C26" s="60" t="s">
        <v>182</v>
      </c>
      <c r="D26" s="2">
        <v>590</v>
      </c>
    </row>
    <row r="27" spans="1:7" ht="35.65" customHeight="1" x14ac:dyDescent="0.25">
      <c r="A27" s="93"/>
      <c r="B27" s="84"/>
      <c r="C27" s="22" t="s">
        <v>35</v>
      </c>
      <c r="D27" s="2">
        <v>115.56</v>
      </c>
    </row>
    <row r="28" spans="1:7" s="80" customFormat="1" ht="47.25" customHeight="1" x14ac:dyDescent="0.25">
      <c r="A28" s="85"/>
      <c r="B28" s="86"/>
      <c r="C28" s="73" t="s">
        <v>158</v>
      </c>
      <c r="D28" s="79">
        <v>124.56</v>
      </c>
    </row>
    <row r="29" spans="1:7" ht="28.5" customHeight="1" x14ac:dyDescent="0.25">
      <c r="A29" s="31" t="s">
        <v>154</v>
      </c>
      <c r="B29" s="32"/>
      <c r="C29" s="32"/>
      <c r="D29" s="32"/>
    </row>
    <row r="30" spans="1:7" ht="45" x14ac:dyDescent="0.25">
      <c r="A30" s="94">
        <v>5</v>
      </c>
      <c r="B30" s="90" t="s">
        <v>155</v>
      </c>
      <c r="C30" s="21" t="s">
        <v>13</v>
      </c>
      <c r="D30" s="1">
        <v>1580.5</v>
      </c>
      <c r="E30" s="69"/>
      <c r="F30" s="81"/>
      <c r="G30" s="69"/>
    </row>
    <row r="31" spans="1:7" ht="161.65" customHeight="1" x14ac:dyDescent="0.25">
      <c r="A31" s="94"/>
      <c r="B31" s="90"/>
      <c r="C31" s="21" t="s">
        <v>11</v>
      </c>
      <c r="D31" s="1">
        <v>1208.5</v>
      </c>
      <c r="E31" s="69"/>
      <c r="F31" s="81"/>
      <c r="G31" s="69"/>
    </row>
    <row r="32" spans="1:7" ht="30" x14ac:dyDescent="0.25">
      <c r="A32" s="94"/>
      <c r="B32" s="90"/>
      <c r="C32" s="22" t="s">
        <v>36</v>
      </c>
      <c r="D32" s="2">
        <v>181.56</v>
      </c>
    </row>
    <row r="33" spans="1:4" s="80" customFormat="1" ht="105.95" customHeight="1" x14ac:dyDescent="0.25">
      <c r="A33" s="94"/>
      <c r="B33" s="90"/>
      <c r="C33" s="78" t="s">
        <v>179</v>
      </c>
      <c r="D33" s="79">
        <f>24552000/26400</f>
        <v>930</v>
      </c>
    </row>
    <row r="34" spans="1:4" s="80" customFormat="1" ht="47.25" customHeight="1" x14ac:dyDescent="0.25">
      <c r="A34" s="94"/>
      <c r="B34" s="90"/>
      <c r="C34" s="73" t="s">
        <v>158</v>
      </c>
      <c r="D34" s="79">
        <v>156.96</v>
      </c>
    </row>
    <row r="35" spans="1:4" ht="41.65" customHeight="1" x14ac:dyDescent="0.25">
      <c r="A35" s="94"/>
      <c r="B35" s="90"/>
      <c r="C35" s="22" t="s">
        <v>37</v>
      </c>
      <c r="D35" s="2">
        <v>181.56</v>
      </c>
    </row>
  </sheetData>
  <mergeCells count="12">
    <mergeCell ref="A1:D1"/>
    <mergeCell ref="A6:A9"/>
    <mergeCell ref="B6:B9"/>
    <mergeCell ref="B11:B14"/>
    <mergeCell ref="A11:A14"/>
    <mergeCell ref="A2:B2"/>
    <mergeCell ref="C2:D2"/>
    <mergeCell ref="A17:A20"/>
    <mergeCell ref="A23:A27"/>
    <mergeCell ref="B30:B35"/>
    <mergeCell ref="A30:A35"/>
    <mergeCell ref="B17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zoomScale="94" zoomScaleNormal="90" workbookViewId="0">
      <selection activeCell="B22" sqref="B22"/>
    </sheetView>
  </sheetViews>
  <sheetFormatPr defaultColWidth="9" defaultRowHeight="15" x14ac:dyDescent="0.25"/>
  <cols>
    <col min="1" max="1" width="5.5703125" style="18" customWidth="1"/>
    <col min="2" max="2" width="19.42578125" style="18" customWidth="1"/>
    <col min="3" max="3" width="89.85546875" style="18" customWidth="1"/>
    <col min="4" max="4" width="19.85546875" style="69" customWidth="1"/>
    <col min="5" max="5" width="14.7109375" style="18" bestFit="1" customWidth="1"/>
    <col min="6" max="16384" width="9" style="18"/>
  </cols>
  <sheetData>
    <row r="1" spans="1:5" ht="28.9" customHeight="1" x14ac:dyDescent="0.25">
      <c r="A1" s="99" t="s">
        <v>139</v>
      </c>
      <c r="B1" s="99"/>
      <c r="C1" s="99"/>
      <c r="D1" s="99"/>
    </row>
    <row r="2" spans="1:5" ht="26.1" customHeight="1" x14ac:dyDescent="0.25">
      <c r="A2" s="96" t="s">
        <v>133</v>
      </c>
      <c r="B2" s="96"/>
      <c r="C2" s="97"/>
      <c r="D2" s="98"/>
    </row>
    <row r="4" spans="1:5" ht="35.65" customHeight="1" x14ac:dyDescent="0.25">
      <c r="A4" s="42" t="s">
        <v>0</v>
      </c>
      <c r="B4" s="42" t="s">
        <v>7</v>
      </c>
      <c r="C4" s="42" t="s">
        <v>8</v>
      </c>
      <c r="D4" s="62" t="s">
        <v>9</v>
      </c>
    </row>
    <row r="5" spans="1:5" ht="25.7" customHeight="1" x14ac:dyDescent="0.25">
      <c r="A5" s="31" t="s">
        <v>140</v>
      </c>
      <c r="B5" s="32"/>
      <c r="C5" s="32"/>
      <c r="D5" s="63"/>
    </row>
    <row r="6" spans="1:5" ht="96" customHeight="1" x14ac:dyDescent="0.25">
      <c r="A6" s="94">
        <v>1</v>
      </c>
      <c r="B6" s="61" t="s">
        <v>157</v>
      </c>
      <c r="C6" s="21" t="s">
        <v>15</v>
      </c>
      <c r="D6" s="64">
        <v>2479.5</v>
      </c>
      <c r="E6" s="71"/>
    </row>
    <row r="7" spans="1:5" ht="133.5" customHeight="1" x14ac:dyDescent="0.25">
      <c r="A7" s="94"/>
      <c r="B7" s="61"/>
      <c r="C7" s="21" t="s">
        <v>14</v>
      </c>
      <c r="D7" s="64">
        <v>2638.5</v>
      </c>
      <c r="E7" s="71"/>
    </row>
    <row r="8" spans="1:5" ht="147.4" customHeight="1" x14ac:dyDescent="0.25">
      <c r="A8" s="94"/>
      <c r="B8" s="61"/>
      <c r="C8" s="60" t="s">
        <v>164</v>
      </c>
      <c r="D8" s="64">
        <v>1955.5</v>
      </c>
      <c r="E8" s="71">
        <f>D8+D11</f>
        <v>2483.5</v>
      </c>
    </row>
    <row r="9" spans="1:5" ht="30" x14ac:dyDescent="0.25">
      <c r="A9" s="94"/>
      <c r="B9" s="61"/>
      <c r="C9" s="22" t="s">
        <v>80</v>
      </c>
      <c r="D9" s="65">
        <v>396.48</v>
      </c>
    </row>
    <row r="10" spans="1:5" ht="30" x14ac:dyDescent="0.25">
      <c r="A10" s="94"/>
      <c r="B10" s="61"/>
      <c r="C10" s="22" t="s">
        <v>81</v>
      </c>
      <c r="D10" s="65">
        <v>396.48</v>
      </c>
    </row>
    <row r="11" spans="1:5" ht="80.650000000000006" customHeight="1" x14ac:dyDescent="0.25">
      <c r="A11" s="72"/>
      <c r="B11" s="61" t="s">
        <v>176</v>
      </c>
      <c r="C11" s="76" t="s">
        <v>177</v>
      </c>
      <c r="D11" s="65">
        <v>528</v>
      </c>
      <c r="E11" s="71"/>
    </row>
    <row r="12" spans="1:5" ht="27.95" customHeight="1" x14ac:dyDescent="0.25">
      <c r="A12" s="72"/>
      <c r="B12" s="61" t="s">
        <v>178</v>
      </c>
      <c r="C12" s="73" t="s">
        <v>158</v>
      </c>
      <c r="D12" s="74">
        <v>246</v>
      </c>
    </row>
    <row r="13" spans="1:5" ht="23.45" customHeight="1" x14ac:dyDescent="0.25">
      <c r="A13" s="35" t="s">
        <v>141</v>
      </c>
      <c r="B13" s="36"/>
      <c r="C13" s="36"/>
      <c r="D13" s="66"/>
    </row>
    <row r="14" spans="1:5" ht="45" x14ac:dyDescent="0.25">
      <c r="A14" s="94">
        <v>2</v>
      </c>
      <c r="B14" s="90" t="s">
        <v>142</v>
      </c>
      <c r="C14" s="21" t="s">
        <v>16</v>
      </c>
      <c r="D14" s="64">
        <v>3431.5</v>
      </c>
    </row>
    <row r="15" spans="1:5" ht="136.69999999999999" customHeight="1" x14ac:dyDescent="0.25">
      <c r="A15" s="94"/>
      <c r="B15" s="90"/>
      <c r="C15" s="21" t="s">
        <v>25</v>
      </c>
      <c r="D15" s="64">
        <v>3735</v>
      </c>
    </row>
    <row r="16" spans="1:5" ht="116.65" customHeight="1" x14ac:dyDescent="0.25">
      <c r="A16" s="94"/>
      <c r="B16" s="90"/>
      <c r="C16" s="60" t="s">
        <v>165</v>
      </c>
      <c r="D16" s="64">
        <v>2766</v>
      </c>
    </row>
    <row r="17" spans="1:5" ht="39.6" customHeight="1" x14ac:dyDescent="0.25">
      <c r="A17" s="94"/>
      <c r="B17" s="90"/>
      <c r="C17" s="22" t="s">
        <v>82</v>
      </c>
      <c r="D17" s="65">
        <v>560.5</v>
      </c>
    </row>
    <row r="18" spans="1:5" ht="39.6" customHeight="1" x14ac:dyDescent="0.25">
      <c r="A18" s="94"/>
      <c r="B18" s="90"/>
      <c r="C18" s="22" t="s">
        <v>83</v>
      </c>
      <c r="D18" s="65">
        <v>560.5</v>
      </c>
    </row>
    <row r="19" spans="1:5" ht="27.95" customHeight="1" x14ac:dyDescent="0.25">
      <c r="A19" s="72"/>
      <c r="B19" s="61"/>
      <c r="C19" s="73" t="s">
        <v>158</v>
      </c>
      <c r="D19" s="74">
        <v>339.96</v>
      </c>
    </row>
    <row r="20" spans="1:5" ht="23.85" customHeight="1" x14ac:dyDescent="0.25">
      <c r="A20" s="31" t="s">
        <v>17</v>
      </c>
      <c r="B20" s="32"/>
      <c r="C20" s="32"/>
      <c r="D20" s="63"/>
    </row>
    <row r="21" spans="1:5" ht="45" x14ac:dyDescent="0.25">
      <c r="A21" s="94">
        <v>3</v>
      </c>
      <c r="B21" s="61" t="s">
        <v>18</v>
      </c>
      <c r="C21" s="21" t="s">
        <v>21</v>
      </c>
      <c r="D21" s="64">
        <v>5150</v>
      </c>
    </row>
    <row r="22" spans="1:5" ht="144.94999999999999" customHeight="1" x14ac:dyDescent="0.25">
      <c r="A22" s="94"/>
      <c r="B22" s="61" t="s">
        <v>175</v>
      </c>
      <c r="C22" s="21" t="s">
        <v>19</v>
      </c>
      <c r="D22" s="64">
        <v>4828.5</v>
      </c>
    </row>
    <row r="23" spans="1:5" ht="116.65" customHeight="1" x14ac:dyDescent="0.25">
      <c r="A23" s="94"/>
      <c r="B23" s="61" t="s">
        <v>174</v>
      </c>
      <c r="C23" s="60" t="s">
        <v>159</v>
      </c>
      <c r="D23" s="64">
        <v>3576.48</v>
      </c>
    </row>
    <row r="24" spans="1:5" ht="39" customHeight="1" x14ac:dyDescent="0.25">
      <c r="A24" s="94"/>
      <c r="B24" s="61" t="s">
        <v>167</v>
      </c>
      <c r="C24" s="59" t="s">
        <v>158</v>
      </c>
      <c r="D24" s="64">
        <v>510.48</v>
      </c>
    </row>
    <row r="25" spans="1:5" ht="34.5" customHeight="1" x14ac:dyDescent="0.25">
      <c r="A25" s="94"/>
      <c r="B25" s="61" t="s">
        <v>173</v>
      </c>
      <c r="C25" s="22" t="s">
        <v>84</v>
      </c>
      <c r="D25" s="65">
        <v>724.6</v>
      </c>
    </row>
    <row r="26" spans="1:5" ht="55.35" customHeight="1" x14ac:dyDescent="0.25">
      <c r="A26" s="94"/>
      <c r="B26" s="61" t="s">
        <v>172</v>
      </c>
      <c r="C26" s="60" t="s">
        <v>85</v>
      </c>
      <c r="D26" s="65">
        <v>724.6</v>
      </c>
    </row>
    <row r="27" spans="1:5" ht="54.95" customHeight="1" x14ac:dyDescent="0.25">
      <c r="A27" s="72"/>
      <c r="B27" s="61" t="s">
        <v>170</v>
      </c>
      <c r="C27" s="22" t="s">
        <v>168</v>
      </c>
      <c r="D27" s="65">
        <v>1448.52</v>
      </c>
    </row>
    <row r="28" spans="1:5" ht="54.95" customHeight="1" x14ac:dyDescent="0.25">
      <c r="A28" s="72"/>
      <c r="B28" s="61" t="s">
        <v>171</v>
      </c>
      <c r="C28" s="22" t="s">
        <v>169</v>
      </c>
      <c r="D28" s="65">
        <v>773.04</v>
      </c>
    </row>
    <row r="29" spans="1:5" ht="21.4" customHeight="1" x14ac:dyDescent="0.25">
      <c r="A29" s="37" t="s">
        <v>143</v>
      </c>
      <c r="B29" s="38"/>
      <c r="C29" s="38"/>
      <c r="D29" s="67"/>
    </row>
    <row r="30" spans="1:5" ht="45" x14ac:dyDescent="0.25">
      <c r="A30" s="94">
        <v>4</v>
      </c>
      <c r="B30" s="90" t="s">
        <v>20</v>
      </c>
      <c r="C30" s="21" t="s">
        <v>22</v>
      </c>
      <c r="D30" s="64">
        <v>6604.5</v>
      </c>
      <c r="E30" s="71">
        <f>D30*2</f>
        <v>13209</v>
      </c>
    </row>
    <row r="31" spans="1:5" ht="137.1" customHeight="1" x14ac:dyDescent="0.25">
      <c r="A31" s="94"/>
      <c r="B31" s="90"/>
      <c r="C31" s="21" t="s">
        <v>26</v>
      </c>
      <c r="D31" s="64">
        <v>6725.5</v>
      </c>
    </row>
    <row r="32" spans="1:5" ht="137.1" customHeight="1" x14ac:dyDescent="0.25">
      <c r="A32" s="94"/>
      <c r="B32" s="90"/>
      <c r="C32" s="21" t="s">
        <v>166</v>
      </c>
      <c r="D32" s="64">
        <v>4981.5600000000004</v>
      </c>
      <c r="E32" s="71">
        <f>D32*3</f>
        <v>14944.68</v>
      </c>
    </row>
    <row r="33" spans="1:4" ht="33.200000000000003" customHeight="1" x14ac:dyDescent="0.25">
      <c r="A33" s="94"/>
      <c r="B33" s="90"/>
      <c r="C33" s="22" t="s">
        <v>86</v>
      </c>
      <c r="D33" s="65">
        <v>1009.56</v>
      </c>
    </row>
    <row r="34" spans="1:4" ht="47.65" customHeight="1" x14ac:dyDescent="0.25">
      <c r="A34" s="94"/>
      <c r="B34" s="90"/>
      <c r="C34" s="22" t="s">
        <v>87</v>
      </c>
      <c r="D34" s="65">
        <v>1009.56</v>
      </c>
    </row>
    <row r="35" spans="1:4" ht="42.75" customHeight="1" x14ac:dyDescent="0.25">
      <c r="B35" s="61"/>
      <c r="C35" s="59" t="s">
        <v>158</v>
      </c>
      <c r="D35" s="65">
        <v>654.48</v>
      </c>
    </row>
    <row r="36" spans="1:4" ht="28.9" customHeight="1" x14ac:dyDescent="0.25">
      <c r="A36" s="33" t="s">
        <v>144</v>
      </c>
      <c r="B36" s="34"/>
      <c r="C36" s="34"/>
      <c r="D36" s="68"/>
    </row>
    <row r="37" spans="1:4" ht="77.099999999999994" customHeight="1" x14ac:dyDescent="0.25">
      <c r="A37" s="94">
        <v>5</v>
      </c>
      <c r="B37" s="70" t="s">
        <v>180</v>
      </c>
      <c r="C37" s="21" t="s">
        <v>23</v>
      </c>
      <c r="D37" s="64">
        <v>9843.5</v>
      </c>
    </row>
    <row r="38" spans="1:4" ht="138.94999999999999" customHeight="1" x14ac:dyDescent="0.25">
      <c r="A38" s="94"/>
      <c r="B38" s="61"/>
      <c r="C38" s="21" t="s">
        <v>27</v>
      </c>
      <c r="D38" s="64">
        <v>10103</v>
      </c>
    </row>
    <row r="39" spans="1:4" ht="105.95" customHeight="1" x14ac:dyDescent="0.25">
      <c r="A39" s="94"/>
      <c r="B39" s="61"/>
      <c r="C39" s="60" t="s">
        <v>162</v>
      </c>
      <c r="D39" s="64">
        <v>7484.04</v>
      </c>
    </row>
    <row r="40" spans="1:4" ht="27.95" customHeight="1" x14ac:dyDescent="0.25">
      <c r="A40" s="94"/>
      <c r="B40" s="61" t="s">
        <v>181</v>
      </c>
      <c r="C40" s="59" t="s">
        <v>158</v>
      </c>
      <c r="D40" s="64">
        <v>975</v>
      </c>
    </row>
    <row r="41" spans="1:4" ht="30" x14ac:dyDescent="0.25">
      <c r="A41" s="94"/>
      <c r="B41" s="61"/>
      <c r="C41" s="22" t="s">
        <v>88</v>
      </c>
      <c r="D41" s="65">
        <v>1515.48</v>
      </c>
    </row>
    <row r="42" spans="1:4" ht="30" x14ac:dyDescent="0.25">
      <c r="A42" s="94"/>
      <c r="B42" s="61"/>
      <c r="C42" s="22" t="s">
        <v>89</v>
      </c>
      <c r="D42" s="65">
        <v>1515.48</v>
      </c>
    </row>
    <row r="43" spans="1:4" ht="24.6" customHeight="1" x14ac:dyDescent="0.25">
      <c r="A43" s="31" t="s">
        <v>146</v>
      </c>
      <c r="B43" s="32"/>
      <c r="C43" s="32"/>
      <c r="D43" s="63"/>
    </row>
    <row r="44" spans="1:4" ht="58.15" customHeight="1" x14ac:dyDescent="0.25">
      <c r="A44" s="94">
        <v>6</v>
      </c>
      <c r="B44" s="61" t="s">
        <v>145</v>
      </c>
      <c r="C44" s="21" t="s">
        <v>24</v>
      </c>
      <c r="D44" s="64">
        <v>13215</v>
      </c>
    </row>
    <row r="45" spans="1:4" ht="140.44999999999999" customHeight="1" x14ac:dyDescent="0.25">
      <c r="A45" s="94"/>
      <c r="B45" s="70" t="s">
        <v>161</v>
      </c>
      <c r="C45" s="21" t="s">
        <v>160</v>
      </c>
      <c r="D45" s="64">
        <f>14232.5*3</f>
        <v>42697.5</v>
      </c>
    </row>
    <row r="46" spans="1:4" ht="39.200000000000003" customHeight="1" x14ac:dyDescent="0.25">
      <c r="A46" s="94"/>
      <c r="B46" s="61"/>
      <c r="C46" s="22" t="s">
        <v>90</v>
      </c>
      <c r="D46" s="65">
        <v>2135.5</v>
      </c>
    </row>
    <row r="47" spans="1:4" ht="42.75" customHeight="1" x14ac:dyDescent="0.25">
      <c r="A47" s="94"/>
      <c r="B47" s="61"/>
      <c r="C47" s="22" t="s">
        <v>163</v>
      </c>
      <c r="D47" s="65">
        <f>2135.5*3</f>
        <v>6406.5</v>
      </c>
    </row>
    <row r="48" spans="1:4" ht="42.75" customHeight="1" x14ac:dyDescent="0.25">
      <c r="B48" s="61"/>
      <c r="C48" s="59" t="s">
        <v>158</v>
      </c>
      <c r="D48" s="65">
        <f>1308.96</f>
        <v>1308.96</v>
      </c>
    </row>
    <row r="49" spans="5:5" ht="24.4" customHeight="1" x14ac:dyDescent="0.25">
      <c r="E49" s="75" t="e">
        <f>#REF!-#REF!-#REF!</f>
        <v>#REF!</v>
      </c>
    </row>
  </sheetData>
  <mergeCells count="11">
    <mergeCell ref="A1:D1"/>
    <mergeCell ref="A6:A10"/>
    <mergeCell ref="B14:B18"/>
    <mergeCell ref="A14:A18"/>
    <mergeCell ref="A44:A47"/>
    <mergeCell ref="A2:B2"/>
    <mergeCell ref="C2:D2"/>
    <mergeCell ref="A21:A26"/>
    <mergeCell ref="B30:B34"/>
    <mergeCell ref="A30:A34"/>
    <mergeCell ref="A37:A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zoomScale="80" zoomScaleNormal="90" workbookViewId="0">
      <selection activeCell="C31" sqref="C31"/>
    </sheetView>
  </sheetViews>
  <sheetFormatPr defaultColWidth="9" defaultRowHeight="14.25" x14ac:dyDescent="0.25"/>
  <cols>
    <col min="1" max="1" width="5.5703125" style="12" customWidth="1"/>
    <col min="2" max="2" width="11" style="12" customWidth="1"/>
    <col min="3" max="3" width="89.85546875" style="12" customWidth="1"/>
    <col min="4" max="4" width="19.85546875" style="58" customWidth="1"/>
    <col min="5" max="16384" width="9" style="12"/>
  </cols>
  <sheetData>
    <row r="1" spans="1:4" ht="31.7" customHeight="1" x14ac:dyDescent="0.25">
      <c r="A1" s="101" t="s">
        <v>134</v>
      </c>
      <c r="B1" s="101"/>
      <c r="C1" s="101"/>
      <c r="D1" s="101"/>
    </row>
    <row r="2" spans="1:4" ht="20.25" customHeight="1" x14ac:dyDescent="0.25">
      <c r="A2" s="103" t="s">
        <v>133</v>
      </c>
      <c r="B2" s="103"/>
      <c r="C2" s="104"/>
      <c r="D2" s="105"/>
    </row>
    <row r="4" spans="1:4" ht="36.4" customHeight="1" x14ac:dyDescent="0.25">
      <c r="A4" s="50" t="s">
        <v>0</v>
      </c>
      <c r="B4" s="50" t="s">
        <v>7</v>
      </c>
      <c r="C4" s="50" t="s">
        <v>8</v>
      </c>
      <c r="D4" s="51" t="s">
        <v>9</v>
      </c>
    </row>
    <row r="5" spans="1:4" ht="26.1" customHeight="1" x14ac:dyDescent="0.25">
      <c r="A5" s="48" t="s">
        <v>135</v>
      </c>
      <c r="B5" s="49"/>
      <c r="C5" s="49"/>
      <c r="D5" s="52"/>
    </row>
    <row r="6" spans="1:4" ht="53.1" customHeight="1" x14ac:dyDescent="0.25">
      <c r="A6" s="100">
        <v>1</v>
      </c>
      <c r="B6" s="102" t="s">
        <v>128</v>
      </c>
      <c r="C6" s="13" t="s">
        <v>111</v>
      </c>
      <c r="D6" s="53">
        <v>20420.5</v>
      </c>
    </row>
    <row r="7" spans="1:4" ht="133.5" customHeight="1" x14ac:dyDescent="0.25">
      <c r="A7" s="100"/>
      <c r="B7" s="102"/>
      <c r="C7" s="13" t="s">
        <v>112</v>
      </c>
      <c r="D7" s="53">
        <v>19913</v>
      </c>
    </row>
    <row r="8" spans="1:4" ht="40.700000000000003" customHeight="1" x14ac:dyDescent="0.25">
      <c r="A8" s="100"/>
      <c r="B8" s="102"/>
      <c r="C8" s="14" t="s">
        <v>113</v>
      </c>
      <c r="D8" s="54">
        <v>2988</v>
      </c>
    </row>
    <row r="9" spans="1:4" ht="42.75" customHeight="1" x14ac:dyDescent="0.25">
      <c r="A9" s="100"/>
      <c r="B9" s="102"/>
      <c r="C9" s="14" t="s">
        <v>114</v>
      </c>
      <c r="D9" s="54">
        <v>2988</v>
      </c>
    </row>
    <row r="10" spans="1:4" ht="24.6" customHeight="1" x14ac:dyDescent="0.25">
      <c r="A10" s="46" t="s">
        <v>127</v>
      </c>
      <c r="B10" s="47"/>
      <c r="C10" s="47"/>
      <c r="D10" s="55"/>
    </row>
    <row r="11" spans="1:4" ht="51" customHeight="1" x14ac:dyDescent="0.25">
      <c r="A11" s="100">
        <v>2</v>
      </c>
      <c r="B11" s="102" t="s">
        <v>129</v>
      </c>
      <c r="C11" s="13" t="s">
        <v>115</v>
      </c>
      <c r="D11" s="53">
        <v>31724</v>
      </c>
    </row>
    <row r="12" spans="1:4" ht="134.1" customHeight="1" x14ac:dyDescent="0.25">
      <c r="A12" s="100"/>
      <c r="B12" s="102"/>
      <c r="C12" s="13" t="s">
        <v>116</v>
      </c>
      <c r="D12" s="53">
        <v>29560.5</v>
      </c>
    </row>
    <row r="13" spans="1:4" ht="36.75" customHeight="1" x14ac:dyDescent="0.25">
      <c r="A13" s="100"/>
      <c r="B13" s="102"/>
      <c r="C13" s="14" t="s">
        <v>117</v>
      </c>
      <c r="D13" s="54">
        <v>4434</v>
      </c>
    </row>
    <row r="14" spans="1:4" ht="40.35" customHeight="1" x14ac:dyDescent="0.25">
      <c r="A14" s="100"/>
      <c r="B14" s="102"/>
      <c r="C14" s="14" t="s">
        <v>118</v>
      </c>
      <c r="D14" s="54">
        <v>4434</v>
      </c>
    </row>
    <row r="15" spans="1:4" ht="25.35" customHeight="1" x14ac:dyDescent="0.25">
      <c r="A15" s="106" t="s">
        <v>130</v>
      </c>
      <c r="B15" s="106"/>
      <c r="C15" s="45"/>
      <c r="D15" s="56"/>
    </row>
    <row r="16" spans="1:4" ht="57.75" x14ac:dyDescent="0.25">
      <c r="A16" s="100">
        <v>3</v>
      </c>
      <c r="B16" s="102" t="s">
        <v>131</v>
      </c>
      <c r="C16" s="13" t="s">
        <v>119</v>
      </c>
      <c r="D16" s="53">
        <v>44413.599999999999</v>
      </c>
    </row>
    <row r="17" spans="1:4" ht="133.15" customHeight="1" x14ac:dyDescent="0.25">
      <c r="A17" s="100"/>
      <c r="B17" s="102"/>
      <c r="C17" s="13" t="s">
        <v>120</v>
      </c>
      <c r="D17" s="53">
        <v>41384.699999999997</v>
      </c>
    </row>
    <row r="18" spans="1:4" ht="29.25" x14ac:dyDescent="0.25">
      <c r="A18" s="100"/>
      <c r="B18" s="102"/>
      <c r="C18" s="14" t="s">
        <v>121</v>
      </c>
      <c r="D18" s="54">
        <v>6207.6</v>
      </c>
    </row>
    <row r="19" spans="1:4" ht="29.25" x14ac:dyDescent="0.25">
      <c r="A19" s="100"/>
      <c r="B19" s="102"/>
      <c r="C19" s="14" t="s">
        <v>122</v>
      </c>
      <c r="D19" s="54">
        <v>6207.6</v>
      </c>
    </row>
    <row r="20" spans="1:4" ht="25.7" customHeight="1" x14ac:dyDescent="0.25">
      <c r="A20" s="43" t="s">
        <v>132</v>
      </c>
      <c r="B20" s="44"/>
      <c r="C20" s="44"/>
      <c r="D20" s="57"/>
    </row>
    <row r="21" spans="1:4" ht="68.099999999999994" customHeight="1" x14ac:dyDescent="0.25">
      <c r="A21" s="100">
        <v>4</v>
      </c>
      <c r="B21" s="102" t="s">
        <v>136</v>
      </c>
      <c r="C21" s="13" t="s">
        <v>123</v>
      </c>
      <c r="D21" s="53">
        <v>57737.7</v>
      </c>
    </row>
    <row r="22" spans="1:4" ht="137.1" customHeight="1" x14ac:dyDescent="0.25">
      <c r="A22" s="100"/>
      <c r="B22" s="102"/>
      <c r="C22" s="13" t="s">
        <v>124</v>
      </c>
      <c r="D22" s="53">
        <v>53800</v>
      </c>
    </row>
    <row r="23" spans="1:4" ht="42.75" customHeight="1" x14ac:dyDescent="0.25">
      <c r="A23" s="100"/>
      <c r="B23" s="102"/>
      <c r="C23" s="14" t="s">
        <v>125</v>
      </c>
      <c r="D23" s="54">
        <v>8069.88</v>
      </c>
    </row>
    <row r="24" spans="1:4" ht="37.700000000000003" customHeight="1" x14ac:dyDescent="0.25">
      <c r="A24" s="100"/>
      <c r="B24" s="102"/>
      <c r="C24" s="14" t="s">
        <v>126</v>
      </c>
      <c r="D24" s="54">
        <v>8069.88</v>
      </c>
    </row>
  </sheetData>
  <mergeCells count="12">
    <mergeCell ref="A6:A9"/>
    <mergeCell ref="A1:D1"/>
    <mergeCell ref="B21:B24"/>
    <mergeCell ref="A21:A24"/>
    <mergeCell ref="B16:B19"/>
    <mergeCell ref="A16:A19"/>
    <mergeCell ref="B11:B14"/>
    <mergeCell ref="A11:A14"/>
    <mergeCell ref="B6:B9"/>
    <mergeCell ref="A2:B2"/>
    <mergeCell ref="C2:D2"/>
    <mergeCell ref="A15:B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topLeftCell="A10" zoomScale="90" zoomScaleNormal="90" workbookViewId="0">
      <selection activeCell="A2" sqref="A2:B2"/>
    </sheetView>
  </sheetViews>
  <sheetFormatPr defaultColWidth="9" defaultRowHeight="15" x14ac:dyDescent="0.25"/>
  <cols>
    <col min="1" max="1" width="5.5703125" style="18" customWidth="1"/>
    <col min="2" max="2" width="13.85546875" style="18" customWidth="1"/>
    <col min="3" max="3" width="89.85546875" style="18" customWidth="1"/>
    <col min="4" max="4" width="19.85546875" style="18" customWidth="1"/>
    <col min="5" max="16384" width="9" style="18"/>
  </cols>
  <sheetData>
    <row r="1" spans="1:4" ht="34.5" customHeight="1" x14ac:dyDescent="0.25">
      <c r="A1" s="107" t="s">
        <v>137</v>
      </c>
      <c r="B1" s="107"/>
      <c r="C1" s="107"/>
      <c r="D1" s="107"/>
    </row>
    <row r="2" spans="1:4" ht="18.95" customHeight="1" x14ac:dyDescent="0.25">
      <c r="A2" s="96" t="s">
        <v>133</v>
      </c>
      <c r="B2" s="96"/>
      <c r="C2" s="97"/>
      <c r="D2" s="98"/>
    </row>
    <row r="3" spans="1:4" ht="15.75" thickBot="1" x14ac:dyDescent="0.3"/>
    <row r="4" spans="1:4" ht="31.5" x14ac:dyDescent="0.25">
      <c r="A4" s="15" t="s">
        <v>0</v>
      </c>
      <c r="B4" s="15" t="s">
        <v>7</v>
      </c>
      <c r="C4" s="16" t="s">
        <v>8</v>
      </c>
      <c r="D4" s="17" t="s">
        <v>9</v>
      </c>
    </row>
    <row r="5" spans="1:4" x14ac:dyDescent="0.25">
      <c r="A5" s="19" t="s">
        <v>38</v>
      </c>
      <c r="B5" s="20"/>
      <c r="C5" s="20"/>
      <c r="D5" s="7">
        <f>SUM(D6:D9)</f>
        <v>1695.6</v>
      </c>
    </row>
    <row r="6" spans="1:4" ht="45" x14ac:dyDescent="0.25">
      <c r="A6" s="91">
        <v>1</v>
      </c>
      <c r="B6" s="87" t="s">
        <v>40</v>
      </c>
      <c r="C6" s="21" t="s">
        <v>41</v>
      </c>
      <c r="D6" s="1">
        <v>495</v>
      </c>
    </row>
    <row r="7" spans="1:4" ht="133.5" customHeight="1" x14ac:dyDescent="0.25">
      <c r="A7" s="92"/>
      <c r="B7" s="88"/>
      <c r="C7" s="21" t="s">
        <v>39</v>
      </c>
      <c r="D7" s="1">
        <v>923.4</v>
      </c>
    </row>
    <row r="8" spans="1:4" ht="35.450000000000003" customHeight="1" x14ac:dyDescent="0.25">
      <c r="A8" s="92"/>
      <c r="B8" s="88"/>
      <c r="C8" s="22" t="s">
        <v>42</v>
      </c>
      <c r="D8" s="2">
        <v>138.6</v>
      </c>
    </row>
    <row r="9" spans="1:4" ht="28.5" customHeight="1" x14ac:dyDescent="0.25">
      <c r="A9" s="93"/>
      <c r="B9" s="89"/>
      <c r="C9" s="22" t="s">
        <v>43</v>
      </c>
      <c r="D9" s="2">
        <v>138.6</v>
      </c>
    </row>
    <row r="10" spans="1:4" ht="25.35" customHeight="1" x14ac:dyDescent="0.25">
      <c r="A10" s="19" t="s">
        <v>45</v>
      </c>
      <c r="B10" s="20"/>
      <c r="C10" s="20"/>
      <c r="D10" s="7">
        <f>SUM(D11:D14)</f>
        <v>4092.3999999999996</v>
      </c>
    </row>
    <row r="11" spans="1:4" ht="45" x14ac:dyDescent="0.25">
      <c r="A11" s="91">
        <v>2</v>
      </c>
      <c r="B11" s="87" t="s">
        <v>44</v>
      </c>
      <c r="C11" s="21" t="s">
        <v>46</v>
      </c>
      <c r="D11" s="1">
        <v>1195</v>
      </c>
    </row>
    <row r="12" spans="1:4" ht="134.1" customHeight="1" x14ac:dyDescent="0.25">
      <c r="A12" s="92"/>
      <c r="B12" s="88"/>
      <c r="C12" s="21" t="s">
        <v>47</v>
      </c>
      <c r="D12" s="1">
        <v>2229</v>
      </c>
    </row>
    <row r="13" spans="1:4" ht="30" x14ac:dyDescent="0.25">
      <c r="A13" s="92"/>
      <c r="B13" s="88"/>
      <c r="C13" s="22" t="s">
        <v>48</v>
      </c>
      <c r="D13" s="2">
        <v>334.2</v>
      </c>
    </row>
    <row r="14" spans="1:4" ht="30" x14ac:dyDescent="0.25">
      <c r="A14" s="93"/>
      <c r="B14" s="89"/>
      <c r="C14" s="22" t="s">
        <v>49</v>
      </c>
      <c r="D14" s="2">
        <v>334.2</v>
      </c>
    </row>
    <row r="15" spans="1:4" x14ac:dyDescent="0.25">
      <c r="A15" s="19" t="s">
        <v>50</v>
      </c>
      <c r="B15" s="20"/>
      <c r="C15" s="20"/>
      <c r="D15" s="7">
        <f>SUM(D16:D19)</f>
        <v>7860</v>
      </c>
    </row>
    <row r="16" spans="1:4" ht="45" x14ac:dyDescent="0.25">
      <c r="A16" s="91">
        <v>3</v>
      </c>
      <c r="B16" s="87" t="s">
        <v>55</v>
      </c>
      <c r="C16" s="21" t="s">
        <v>51</v>
      </c>
      <c r="D16" s="1">
        <v>2295</v>
      </c>
    </row>
    <row r="17" spans="1:4" ht="133.15" customHeight="1" x14ac:dyDescent="0.25">
      <c r="A17" s="92"/>
      <c r="B17" s="88"/>
      <c r="C17" s="21" t="s">
        <v>52</v>
      </c>
      <c r="D17" s="1">
        <v>4281</v>
      </c>
    </row>
    <row r="18" spans="1:4" ht="30" x14ac:dyDescent="0.25">
      <c r="A18" s="92"/>
      <c r="B18" s="88"/>
      <c r="C18" s="22" t="s">
        <v>53</v>
      </c>
      <c r="D18" s="2">
        <v>642</v>
      </c>
    </row>
    <row r="19" spans="1:4" ht="30" x14ac:dyDescent="0.25">
      <c r="A19" s="93"/>
      <c r="B19" s="89"/>
      <c r="C19" s="22" t="s">
        <v>54</v>
      </c>
      <c r="D19" s="2">
        <v>642</v>
      </c>
    </row>
    <row r="20" spans="1:4" x14ac:dyDescent="0.25">
      <c r="A20" s="19" t="s">
        <v>56</v>
      </c>
      <c r="B20" s="20"/>
      <c r="C20" s="20"/>
      <c r="D20" s="7">
        <f>SUM(D21:D24)</f>
        <v>13167.8</v>
      </c>
    </row>
    <row r="21" spans="1:4" ht="45" x14ac:dyDescent="0.25">
      <c r="A21" s="91">
        <v>4</v>
      </c>
      <c r="B21" s="87" t="s">
        <v>58</v>
      </c>
      <c r="C21" s="21" t="s">
        <v>57</v>
      </c>
      <c r="D21" s="1">
        <v>3845</v>
      </c>
    </row>
    <row r="22" spans="1:4" ht="137.1" customHeight="1" x14ac:dyDescent="0.25">
      <c r="A22" s="92"/>
      <c r="B22" s="88"/>
      <c r="C22" s="21" t="s">
        <v>59</v>
      </c>
      <c r="D22" s="1">
        <v>7171.2</v>
      </c>
    </row>
    <row r="23" spans="1:4" ht="30" x14ac:dyDescent="0.25">
      <c r="A23" s="92"/>
      <c r="B23" s="88"/>
      <c r="C23" s="22" t="s">
        <v>60</v>
      </c>
      <c r="D23" s="2">
        <v>1075.8</v>
      </c>
    </row>
    <row r="24" spans="1:4" ht="30" x14ac:dyDescent="0.25">
      <c r="A24" s="93"/>
      <c r="B24" s="89"/>
      <c r="C24" s="22" t="s">
        <v>61</v>
      </c>
      <c r="D24" s="2">
        <v>1075.8</v>
      </c>
    </row>
    <row r="25" spans="1:4" x14ac:dyDescent="0.25">
      <c r="A25" s="19" t="s">
        <v>62</v>
      </c>
      <c r="B25" s="20"/>
      <c r="C25" s="20"/>
      <c r="D25" s="7">
        <f>SUM(D26:D29)</f>
        <v>20196.8</v>
      </c>
    </row>
    <row r="26" spans="1:4" ht="45" x14ac:dyDescent="0.25">
      <c r="A26" s="91">
        <v>5</v>
      </c>
      <c r="B26" s="87" t="s">
        <v>64</v>
      </c>
      <c r="C26" s="21" t="s">
        <v>63</v>
      </c>
      <c r="D26" s="1">
        <v>5995</v>
      </c>
    </row>
    <row r="27" spans="1:4" ht="195" x14ac:dyDescent="0.25">
      <c r="A27" s="92"/>
      <c r="B27" s="88"/>
      <c r="C27" s="21" t="s">
        <v>65</v>
      </c>
      <c r="D27" s="1">
        <v>11182.2</v>
      </c>
    </row>
    <row r="28" spans="1:4" ht="30" x14ac:dyDescent="0.25">
      <c r="A28" s="92"/>
      <c r="B28" s="88"/>
      <c r="C28" s="22" t="s">
        <v>66</v>
      </c>
      <c r="D28" s="2">
        <v>1509.8</v>
      </c>
    </row>
    <row r="29" spans="1:4" ht="30" x14ac:dyDescent="0.25">
      <c r="A29" s="93"/>
      <c r="B29" s="89"/>
      <c r="C29" s="22" t="s">
        <v>67</v>
      </c>
      <c r="D29" s="2">
        <v>1509.8</v>
      </c>
    </row>
    <row r="30" spans="1:4" x14ac:dyDescent="0.25">
      <c r="A30" s="19" t="s">
        <v>68</v>
      </c>
      <c r="B30" s="20"/>
      <c r="C30" s="20"/>
      <c r="D30" s="7">
        <f>SUM(D31:D34)</f>
        <v>37655.399999999994</v>
      </c>
    </row>
    <row r="31" spans="1:4" ht="45" x14ac:dyDescent="0.25">
      <c r="A31" s="91">
        <v>6</v>
      </c>
      <c r="B31" s="87" t="s">
        <v>71</v>
      </c>
      <c r="C31" s="21" t="s">
        <v>69</v>
      </c>
      <c r="D31" s="1">
        <v>10995</v>
      </c>
    </row>
    <row r="32" spans="1:4" ht="195" x14ac:dyDescent="0.25">
      <c r="A32" s="92"/>
      <c r="B32" s="88"/>
      <c r="C32" s="21" t="s">
        <v>70</v>
      </c>
      <c r="D32" s="1">
        <v>20508</v>
      </c>
    </row>
    <row r="33" spans="1:4" ht="30" x14ac:dyDescent="0.25">
      <c r="A33" s="92"/>
      <c r="B33" s="88"/>
      <c r="C33" s="22" t="s">
        <v>72</v>
      </c>
      <c r="D33" s="2">
        <v>3076.2</v>
      </c>
    </row>
    <row r="34" spans="1:4" ht="30" x14ac:dyDescent="0.25">
      <c r="A34" s="93"/>
      <c r="B34" s="89"/>
      <c r="C34" s="22" t="s">
        <v>73</v>
      </c>
      <c r="D34" s="2">
        <v>3076.2</v>
      </c>
    </row>
    <row r="35" spans="1:4" x14ac:dyDescent="0.25">
      <c r="A35" s="19" t="s">
        <v>74</v>
      </c>
      <c r="B35" s="20"/>
      <c r="C35" s="20"/>
      <c r="D35" s="7">
        <f>SUM(D36:D39)</f>
        <v>51353.799999999996</v>
      </c>
    </row>
    <row r="36" spans="1:4" ht="45" x14ac:dyDescent="0.25">
      <c r="A36" s="91">
        <v>7</v>
      </c>
      <c r="B36" s="87" t="s">
        <v>75</v>
      </c>
      <c r="C36" s="21" t="s">
        <v>76</v>
      </c>
      <c r="D36" s="1">
        <v>14995</v>
      </c>
    </row>
    <row r="37" spans="1:4" ht="195" x14ac:dyDescent="0.25">
      <c r="A37" s="92"/>
      <c r="B37" s="88"/>
      <c r="C37" s="21" t="s">
        <v>77</v>
      </c>
      <c r="D37" s="1">
        <v>27968.400000000001</v>
      </c>
    </row>
    <row r="38" spans="1:4" ht="30" x14ac:dyDescent="0.25">
      <c r="A38" s="92"/>
      <c r="B38" s="88"/>
      <c r="C38" s="22" t="s">
        <v>78</v>
      </c>
      <c r="D38" s="2">
        <v>4195.2</v>
      </c>
    </row>
    <row r="39" spans="1:4" ht="30" x14ac:dyDescent="0.25">
      <c r="A39" s="93"/>
      <c r="B39" s="89"/>
      <c r="C39" s="22" t="s">
        <v>79</v>
      </c>
      <c r="D39" s="2">
        <v>4195.2</v>
      </c>
    </row>
  </sheetData>
  <mergeCells count="17">
    <mergeCell ref="A16:A19"/>
    <mergeCell ref="B16:B19"/>
    <mergeCell ref="A21:A24"/>
    <mergeCell ref="B21:B24"/>
    <mergeCell ref="A2:B2"/>
    <mergeCell ref="A1:D1"/>
    <mergeCell ref="B6:B9"/>
    <mergeCell ref="A6:A9"/>
    <mergeCell ref="A11:A14"/>
    <mergeCell ref="B11:B14"/>
    <mergeCell ref="C2:D2"/>
    <mergeCell ref="A26:A29"/>
    <mergeCell ref="B26:B29"/>
    <mergeCell ref="A31:A34"/>
    <mergeCell ref="B31:B34"/>
    <mergeCell ref="A36:A39"/>
    <mergeCell ref="B36:B3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M7" sqref="M7"/>
    </sheetView>
  </sheetViews>
  <sheetFormatPr defaultColWidth="9" defaultRowHeight="15" x14ac:dyDescent="0.25"/>
  <cols>
    <col min="1" max="1" width="7.140625" style="18" customWidth="1"/>
    <col min="2" max="2" width="11.85546875" style="18" customWidth="1"/>
    <col min="3" max="3" width="65.140625" style="18" customWidth="1"/>
    <col min="4" max="4" width="16.42578125" style="18" customWidth="1"/>
    <col min="5" max="5" width="12.28515625" style="18" customWidth="1"/>
    <col min="6" max="7" width="12.85546875" style="18" bestFit="1" customWidth="1"/>
    <col min="8" max="8" width="16.7109375" style="18" customWidth="1"/>
    <col min="9" max="10" width="14.85546875" style="18" bestFit="1" customWidth="1"/>
    <col min="11" max="16384" width="9" style="18"/>
  </cols>
  <sheetData>
    <row r="1" spans="1:10" ht="31.35" customHeight="1" x14ac:dyDescent="0.25">
      <c r="A1" s="112" t="s">
        <v>138</v>
      </c>
      <c r="B1" s="112"/>
      <c r="C1" s="112"/>
      <c r="D1" s="112"/>
    </row>
    <row r="2" spans="1:10" ht="19.350000000000001" customHeight="1" x14ac:dyDescent="0.25">
      <c r="A2" s="96" t="s">
        <v>133</v>
      </c>
      <c r="B2" s="96"/>
      <c r="C2" s="97"/>
      <c r="D2" s="98"/>
    </row>
    <row r="3" spans="1:10" ht="15.75" thickBot="1" x14ac:dyDescent="0.3"/>
    <row r="4" spans="1:10" ht="26.1" customHeight="1" x14ac:dyDescent="0.25">
      <c r="A4" s="27" t="s">
        <v>0</v>
      </c>
      <c r="B4" s="28" t="s">
        <v>7</v>
      </c>
      <c r="C4" s="29" t="s">
        <v>8</v>
      </c>
      <c r="D4" s="113" t="s">
        <v>9</v>
      </c>
      <c r="E4" s="113"/>
      <c r="F4" s="113"/>
      <c r="G4" s="113"/>
      <c r="H4" s="113"/>
      <c r="I4" s="114"/>
    </row>
    <row r="5" spans="1:10" ht="49.5" customHeight="1" x14ac:dyDescent="0.25">
      <c r="A5" s="108" t="s">
        <v>98</v>
      </c>
      <c r="B5" s="109"/>
      <c r="C5" s="110"/>
      <c r="D5" s="7" t="s">
        <v>100</v>
      </c>
      <c r="E5" s="7" t="s">
        <v>93</v>
      </c>
      <c r="F5" s="7" t="s">
        <v>94</v>
      </c>
      <c r="G5" s="7" t="s">
        <v>95</v>
      </c>
      <c r="H5" s="7" t="s">
        <v>96</v>
      </c>
      <c r="I5" s="8" t="s">
        <v>97</v>
      </c>
    </row>
    <row r="6" spans="1:10" ht="135.75" thickBot="1" x14ac:dyDescent="0.3">
      <c r="A6" s="3"/>
      <c r="B6" s="4" t="s">
        <v>92</v>
      </c>
      <c r="C6" s="23" t="s">
        <v>91</v>
      </c>
      <c r="D6" s="5">
        <v>135</v>
      </c>
      <c r="E6" s="5">
        <v>126</v>
      </c>
      <c r="F6" s="5">
        <v>117</v>
      </c>
      <c r="G6" s="5">
        <v>99</v>
      </c>
      <c r="H6" s="5">
        <v>90</v>
      </c>
      <c r="I6" s="6">
        <v>81</v>
      </c>
    </row>
    <row r="7" spans="1:10" ht="15.75" thickBot="1" x14ac:dyDescent="0.3"/>
    <row r="8" spans="1:10" ht="27.75" customHeight="1" x14ac:dyDescent="0.25">
      <c r="A8" s="24" t="s">
        <v>0</v>
      </c>
      <c r="B8" s="25" t="s">
        <v>7</v>
      </c>
      <c r="C8" s="26" t="s">
        <v>8</v>
      </c>
      <c r="D8" s="115" t="s">
        <v>9</v>
      </c>
      <c r="E8" s="115"/>
      <c r="F8" s="115"/>
      <c r="G8" s="115"/>
      <c r="H8" s="115"/>
      <c r="I8" s="116"/>
    </row>
    <row r="9" spans="1:10" ht="65.45" customHeight="1" x14ac:dyDescent="0.25">
      <c r="A9" s="108" t="s">
        <v>103</v>
      </c>
      <c r="B9" s="109"/>
      <c r="C9" s="110"/>
      <c r="D9" s="7" t="s">
        <v>99</v>
      </c>
      <c r="E9" s="7" t="s">
        <v>93</v>
      </c>
      <c r="F9" s="7" t="s">
        <v>94</v>
      </c>
      <c r="G9" s="7" t="s">
        <v>104</v>
      </c>
      <c r="H9" s="7" t="s">
        <v>105</v>
      </c>
      <c r="I9" s="7"/>
    </row>
    <row r="10" spans="1:10" ht="135.75" thickBot="1" x14ac:dyDescent="0.3">
      <c r="A10" s="3"/>
      <c r="B10" s="4" t="s">
        <v>101</v>
      </c>
      <c r="C10" s="23" t="s">
        <v>102</v>
      </c>
      <c r="D10" s="5">
        <v>120</v>
      </c>
      <c r="E10" s="5">
        <v>55.46</v>
      </c>
      <c r="F10" s="5">
        <v>55.46</v>
      </c>
      <c r="G10" s="5">
        <v>50.42</v>
      </c>
      <c r="H10" s="5">
        <v>50.42</v>
      </c>
      <c r="I10" s="6"/>
    </row>
    <row r="11" spans="1:10" ht="23.45" customHeight="1" x14ac:dyDescent="0.25"/>
    <row r="12" spans="1:10" ht="25.7" customHeight="1" x14ac:dyDescent="0.25">
      <c r="A12" s="30" t="s">
        <v>0</v>
      </c>
      <c r="B12" s="30" t="s">
        <v>7</v>
      </c>
      <c r="C12" s="30" t="s">
        <v>8</v>
      </c>
      <c r="D12" s="111" t="s">
        <v>9</v>
      </c>
      <c r="E12" s="111"/>
      <c r="F12" s="111"/>
      <c r="G12" s="111"/>
      <c r="H12" s="111"/>
      <c r="I12" s="111"/>
      <c r="J12" s="111"/>
    </row>
    <row r="13" spans="1:10" ht="72.400000000000006" customHeight="1" x14ac:dyDescent="0.25">
      <c r="A13" s="108" t="s">
        <v>107</v>
      </c>
      <c r="B13" s="109"/>
      <c r="C13" s="110"/>
      <c r="D13" s="9" t="s">
        <v>108</v>
      </c>
      <c r="E13" s="7" t="s">
        <v>93</v>
      </c>
      <c r="F13" s="7" t="s">
        <v>94</v>
      </c>
      <c r="G13" s="7" t="s">
        <v>95</v>
      </c>
      <c r="H13" s="7" t="s">
        <v>96</v>
      </c>
      <c r="I13" s="8" t="s">
        <v>97</v>
      </c>
      <c r="J13" s="8" t="s">
        <v>110</v>
      </c>
    </row>
    <row r="14" spans="1:10" ht="135.75" thickBot="1" x14ac:dyDescent="0.3">
      <c r="A14" s="3"/>
      <c r="B14" s="4" t="s">
        <v>106</v>
      </c>
      <c r="C14" s="23" t="s">
        <v>109</v>
      </c>
      <c r="D14" s="10">
        <v>91.8</v>
      </c>
      <c r="E14" s="10">
        <v>76.569999999999993</v>
      </c>
      <c r="F14" s="10">
        <v>66.099999999999994</v>
      </c>
      <c r="G14" s="10">
        <v>59.03</v>
      </c>
      <c r="H14" s="10">
        <v>54.7</v>
      </c>
      <c r="I14" s="11">
        <v>52.67</v>
      </c>
      <c r="J14" s="11">
        <v>50.53</v>
      </c>
    </row>
  </sheetData>
  <mergeCells count="9">
    <mergeCell ref="A9:C9"/>
    <mergeCell ref="A13:C13"/>
    <mergeCell ref="D12:J12"/>
    <mergeCell ref="A1:D1"/>
    <mergeCell ref="A2:B2"/>
    <mergeCell ref="C2:D2"/>
    <mergeCell ref="D4:I4"/>
    <mergeCell ref="D8:I8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XGS - Desktop</vt:lpstr>
      <vt:lpstr>XGS - 1U</vt:lpstr>
      <vt:lpstr>XGS - 2U</vt:lpstr>
      <vt:lpstr>Virtual FW</vt:lpstr>
      <vt:lpstr>ZTNA - NDR - Central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2051120086 - Nguyễn Võ Đình Anh - CN20A</cp:lastModifiedBy>
  <cp:lastPrinted>2025-02-19T05:48:51Z</cp:lastPrinted>
  <dcterms:created xsi:type="dcterms:W3CDTF">2025-02-19T04:47:46Z</dcterms:created>
  <dcterms:modified xsi:type="dcterms:W3CDTF">2026-05-06T12:48:43Z</dcterms:modified>
</cp:coreProperties>
</file>