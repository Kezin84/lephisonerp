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609E30-6B01-4C8A-B534-8FCD9E0E8B4F}" xr6:coauthVersionLast="47" xr6:coauthVersionMax="47" xr10:uidLastSave="{00000000-0000-0000-0000-000000000000}"/>
  <bookViews>
    <workbookView xWindow="28680" yWindow="-900" windowWidth="29040" windowHeight="15720" xr2:uid="{07627235-36C7-424F-A695-B96CAD9F8602}"/>
  </bookViews>
  <sheets>
    <sheet name="Gia gốc XGS 2100 - Deal  ATC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I4" i="3" s="1"/>
  <c r="K4" i="3" s="1"/>
  <c r="M4" i="3" s="1"/>
  <c r="H3" i="3"/>
  <c r="I3" i="3" s="1"/>
  <c r="I5" i="3" l="1"/>
  <c r="K3" i="3"/>
  <c r="K5" i="3" l="1"/>
  <c r="L3" i="3"/>
  <c r="L5" i="3" l="1"/>
  <c r="M3" i="3"/>
  <c r="M5" i="3" s="1"/>
</calcChain>
</file>

<file path=xl/sharedStrings.xml><?xml version="1.0" encoding="utf-8"?>
<sst xmlns="http://schemas.openxmlformats.org/spreadsheetml/2006/main" count="18" uniqueCount="18">
  <si>
    <t>STT</t>
  </si>
  <si>
    <t>SẢN PHẨM</t>
  </si>
  <si>
    <t>Diễn giải</t>
  </si>
  <si>
    <t>Số lượng</t>
  </si>
  <si>
    <t>Nhập khẩu</t>
  </si>
  <si>
    <t>Đơn giá LP</t>
  </si>
  <si>
    <t>OFF NTS S</t>
  </si>
  <si>
    <t>Đơn giá sau OFF + nhập khẩu</t>
  </si>
  <si>
    <t>Thành tiền sau OFF
USD</t>
  </si>
  <si>
    <t>Tỷ giá</t>
  </si>
  <si>
    <t>VNĐ NTS S</t>
  </si>
  <si>
    <t>VAT 8%</t>
  </si>
  <si>
    <t>Tổng Cộng + VAT</t>
  </si>
  <si>
    <t>TỔNG CỘNG</t>
  </si>
  <si>
    <t>XGS 2100</t>
  </si>
  <si>
    <t>Bản quyền STD 1Y</t>
  </si>
  <si>
    <r>
      <rPr>
        <b/>
        <sz val="11"/>
        <color theme="1"/>
        <rFont val="Arial"/>
        <family val="2"/>
      </rPr>
      <t>Sophos XGS 2100 Hardware Appliance:</t>
    </r>
    <r>
      <rPr>
        <sz val="11"/>
        <color theme="1"/>
        <rFont val="Arial"/>
        <family val="2"/>
      </rPr>
      <t xml:space="preserve">
XGS 2100 HW Appliance with 8 GE + 2 SFP ports, 1 expansion bay for optional Flexi Port module,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</si>
  <si>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Standard Protection Subscription for XGS2100:</t>
    </r>
    <r>
      <rPr>
        <sz val="11"/>
        <color theme="1"/>
        <rFont val="Arial"/>
        <family val="2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</si>
</sst>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3" fontId="2" fillId="0" borderId="1" xfId="1" applyFont="1" applyBorder="1" applyAlignment="1">
      <alignment vertical="center"/>
    </xf>
    <xf numFmtId="9" fontId="2" fillId="0" borderId="1" xfId="2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3" fontId="2" fillId="2" borderId="1" xfId="1" applyFont="1" applyFill="1" applyBorder="1" applyAlignment="1">
      <alignment vertical="center"/>
    </xf>
    <xf numFmtId="43" fontId="3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5 4" xfId="3" xr:uid="{681A7A83-B44A-4DE6-AEDB-B8C22D7548B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1122-3FC9-4561-ABC5-B835CA544F1A}">
  <dimension ref="A2:M7"/>
  <sheetViews>
    <sheetView tabSelected="1" zoomScale="84" zoomScaleNormal="90" workbookViewId="0">
      <selection activeCell="I13" sqref="I13"/>
    </sheetView>
  </sheetViews>
  <sheetFormatPr defaultColWidth="9" defaultRowHeight="14.25" x14ac:dyDescent="0.25"/>
  <cols>
    <col min="1" max="1" width="6" style="5" customWidth="1"/>
    <col min="2" max="2" width="11.42578125" style="5" customWidth="1"/>
    <col min="3" max="3" width="64" style="5" customWidth="1"/>
    <col min="4" max="4" width="11.140625" style="5" customWidth="1"/>
    <col min="5" max="5" width="7" style="5" customWidth="1"/>
    <col min="6" max="6" width="10.7109375" style="14" bestFit="1" customWidth="1"/>
    <col min="7" max="7" width="11.140625" style="14" customWidth="1"/>
    <col min="8" max="8" width="13.28515625" style="14" customWidth="1"/>
    <col min="9" max="9" width="11.42578125" style="14" customWidth="1"/>
    <col min="10" max="10" width="9" style="14" bestFit="1" customWidth="1"/>
    <col min="11" max="11" width="16.140625" style="14" bestFit="1" customWidth="1"/>
    <col min="12" max="12" width="15" style="14" bestFit="1" customWidth="1"/>
    <col min="13" max="13" width="16.42578125" style="14" customWidth="1"/>
    <col min="14" max="16384" width="9" style="5"/>
  </cols>
  <sheetData>
    <row r="2" spans="1:13" ht="69.95" customHeight="1" x14ac:dyDescent="0.2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4" t="s">
        <v>12</v>
      </c>
    </row>
    <row r="3" spans="1:13" ht="125.1" customHeight="1" x14ac:dyDescent="0.25">
      <c r="A3" s="6">
        <v>1</v>
      </c>
      <c r="B3" s="6" t="s">
        <v>14</v>
      </c>
      <c r="C3" s="7" t="s">
        <v>16</v>
      </c>
      <c r="D3" s="8">
        <v>1</v>
      </c>
      <c r="E3" s="8">
        <v>340</v>
      </c>
      <c r="F3" s="9">
        <v>2479.5</v>
      </c>
      <c r="G3" s="10">
        <v>0.35</v>
      </c>
      <c r="H3" s="9">
        <f>F3*(1-G3)+E3</f>
        <v>1951.675</v>
      </c>
      <c r="I3" s="9">
        <f>H3*D3</f>
        <v>1951.675</v>
      </c>
      <c r="J3" s="11">
        <v>26600</v>
      </c>
      <c r="K3" s="9">
        <f>J3*I3</f>
        <v>51914555</v>
      </c>
      <c r="L3" s="9">
        <f>K3*0.08</f>
        <v>4153164.4</v>
      </c>
      <c r="M3" s="9">
        <f>L3+K3</f>
        <v>56067719.399999999</v>
      </c>
    </row>
    <row r="4" spans="1:13" ht="182.1" customHeight="1" x14ac:dyDescent="0.25">
      <c r="A4" s="6">
        <v>2</v>
      </c>
      <c r="B4" s="12" t="s">
        <v>15</v>
      </c>
      <c r="C4" s="7" t="s">
        <v>17</v>
      </c>
      <c r="D4" s="8">
        <v>1</v>
      </c>
      <c r="E4" s="8"/>
      <c r="F4" s="9">
        <v>1955.5</v>
      </c>
      <c r="G4" s="10">
        <v>0.35</v>
      </c>
      <c r="H4" s="9">
        <f t="shared" ref="H4" si="0">F4*(1-G4)+E4</f>
        <v>1271.075</v>
      </c>
      <c r="I4" s="9">
        <f t="shared" ref="I4" si="1">H4*D4</f>
        <v>1271.075</v>
      </c>
      <c r="J4" s="11">
        <v>26600</v>
      </c>
      <c r="K4" s="9">
        <f t="shared" ref="K4" si="2">J4*I4</f>
        <v>33810595</v>
      </c>
      <c r="L4" s="9"/>
      <c r="M4" s="9">
        <f>L4+K4</f>
        <v>33810595</v>
      </c>
    </row>
    <row r="5" spans="1:13" ht="42.4" customHeight="1" x14ac:dyDescent="0.25">
      <c r="A5" s="16" t="s">
        <v>13</v>
      </c>
      <c r="B5" s="17"/>
      <c r="C5" s="17"/>
      <c r="D5" s="17"/>
      <c r="E5" s="17"/>
      <c r="F5" s="17"/>
      <c r="G5" s="17"/>
      <c r="H5" s="18"/>
      <c r="I5" s="9">
        <f>SUM(I3:I4)</f>
        <v>3222.75</v>
      </c>
      <c r="J5" s="9"/>
      <c r="K5" s="13">
        <f>SUM(K3:K4)</f>
        <v>85725150</v>
      </c>
      <c r="L5" s="13">
        <f>SUM(L3:L4)</f>
        <v>4153164.4</v>
      </c>
      <c r="M5" s="13">
        <f>SUM(M3:M4)</f>
        <v>89878314.400000006</v>
      </c>
    </row>
    <row r="6" spans="1:13" ht="30.6" customHeight="1" x14ac:dyDescent="0.25">
      <c r="K6" s="15"/>
      <c r="L6" s="15"/>
      <c r="M6" s="15"/>
    </row>
    <row r="7" spans="1:13" ht="26.65" customHeight="1" x14ac:dyDescent="0.25"/>
  </sheetData>
  <mergeCells count="1">
    <mergeCell ref="A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 gốc XGS 2100 - Deal  ATC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Sơn Lê</dc:creator>
  <cp:lastModifiedBy>2051120086 - Nguyễn Võ Đình Anh - CN20A</cp:lastModifiedBy>
  <dcterms:created xsi:type="dcterms:W3CDTF">2026-05-20T04:19:31Z</dcterms:created>
  <dcterms:modified xsi:type="dcterms:W3CDTF">2026-05-23T08:13:04Z</dcterms:modified>
</cp:coreProperties>
</file>