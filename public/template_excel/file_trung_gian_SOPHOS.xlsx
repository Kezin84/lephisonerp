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1872F11F-F8F8-45DB-BE8B-04E18C181F80}" xr6:coauthVersionLast="47" xr6:coauthVersionMax="47" xr10:uidLastSave="{00000000-0000-0000-0000-000000000000}"/>
  <bookViews>
    <workbookView xWindow="28680" yWindow="-900" windowWidth="29040" windowHeight="15720" activeTab="1" xr2:uid="{00000000-000D-0000-FFFF-FFFF00000000}"/>
  </bookViews>
  <sheets>
    <sheet name="LP Sophos" sheetId="13" r:id="rId1"/>
    <sheet name="XGS - Desktop +10%" sheetId="1" r:id="rId2"/>
    <sheet name="XGS - 1U + 10%" sheetId="3" r:id="rId3"/>
    <sheet name="XGS - 2U + 10%" sheetId="4" r:id="rId4"/>
    <sheet name="Rotto O2" sheetId="15" r:id="rId5"/>
    <sheet name="Rotto O1" sheetId="17" r:id="rId6"/>
    <sheet name="Rotto (2)" sheetId="16" r:id="rId7"/>
    <sheet name="Module 10G (2)" sheetId="18" r:id="rId8"/>
    <sheet name="Virtual FW" sheetId="6" r:id="rId9"/>
    <sheet name="ZTNA - NDR - Central Reporting" sheetId="7" r:id="rId10"/>
    <sheet name="XGS 2300" sheetId="8" r:id="rId11"/>
    <sheet name="XGS 4300" sheetId="9" r:id="rId12"/>
    <sheet name="XGS 4500" sheetId="10" r:id="rId13"/>
    <sheet name="Module 10G" sheetId="14" r:id="rId14"/>
  </sheets>
  <calcPr calcId="191029"/>
</workbook>
</file>

<file path=xl/calcChain.xml><?xml version="1.0" encoding="utf-8"?>
<calcChain xmlns="http://schemas.openxmlformats.org/spreadsheetml/2006/main">
  <c r="D32" i="14" l="1"/>
  <c r="E31" i="14"/>
  <c r="E35" i="18"/>
  <c r="E34" i="18"/>
  <c r="G29" i="18"/>
  <c r="H29" i="18" s="1"/>
  <c r="E29" i="18"/>
  <c r="H28" i="18"/>
  <c r="I28" i="18" s="1"/>
  <c r="G28" i="18"/>
  <c r="E28" i="18"/>
  <c r="J8" i="16"/>
  <c r="H8" i="16"/>
  <c r="I8" i="16" s="1"/>
  <c r="J7" i="16"/>
  <c r="H7" i="16"/>
  <c r="I7" i="16" s="1"/>
  <c r="J6" i="16"/>
  <c r="H6" i="16"/>
  <c r="I6" i="16" s="1"/>
  <c r="J5" i="16"/>
  <c r="H5" i="16"/>
  <c r="I5" i="16" s="1"/>
  <c r="J4" i="16"/>
  <c r="H4" i="16"/>
  <c r="I4" i="16" s="1"/>
  <c r="J3" i="16"/>
  <c r="J9" i="16" s="1"/>
  <c r="H3" i="16"/>
  <c r="I3" i="16" s="1"/>
  <c r="I8" i="17"/>
  <c r="G8" i="17"/>
  <c r="H8" i="17" s="1"/>
  <c r="I7" i="17"/>
  <c r="G7" i="17"/>
  <c r="H7" i="17" s="1"/>
  <c r="I6" i="17"/>
  <c r="G6" i="17"/>
  <c r="H6" i="17" s="1"/>
  <c r="I5" i="17"/>
  <c r="G5" i="17"/>
  <c r="H5" i="17" s="1"/>
  <c r="I4" i="17"/>
  <c r="G4" i="17"/>
  <c r="H4" i="17" s="1"/>
  <c r="I3" i="17"/>
  <c r="I9" i="17" s="1"/>
  <c r="G3" i="17"/>
  <c r="H3" i="17" s="1"/>
  <c r="J20" i="15"/>
  <c r="K19" i="15"/>
  <c r="J19" i="15"/>
  <c r="H19" i="15"/>
  <c r="I19" i="15" s="1"/>
  <c r="K18" i="15"/>
  <c r="J18" i="15"/>
  <c r="H18" i="15"/>
  <c r="I18" i="15" s="1"/>
  <c r="K17" i="15"/>
  <c r="J17" i="15"/>
  <c r="H17" i="15"/>
  <c r="I17" i="15" s="1"/>
  <c r="K16" i="15"/>
  <c r="J16" i="15"/>
  <c r="I16" i="15"/>
  <c r="H16" i="15"/>
  <c r="K15" i="15"/>
  <c r="J15" i="15"/>
  <c r="H15" i="15"/>
  <c r="I15" i="15" s="1"/>
  <c r="K14" i="15"/>
  <c r="J14" i="15"/>
  <c r="H14" i="15"/>
  <c r="I14" i="15" s="1"/>
  <c r="K13" i="15"/>
  <c r="J13" i="15"/>
  <c r="H13" i="15"/>
  <c r="I13" i="15" s="1"/>
  <c r="K12" i="15"/>
  <c r="J12" i="15"/>
  <c r="I12" i="15"/>
  <c r="H12" i="15"/>
  <c r="K11" i="15"/>
  <c r="J11" i="15"/>
  <c r="H11" i="15"/>
  <c r="I11" i="15" s="1"/>
  <c r="K10" i="15"/>
  <c r="J10" i="15"/>
  <c r="H10" i="15"/>
  <c r="I10" i="15" s="1"/>
  <c r="K9" i="15"/>
  <c r="J9" i="15"/>
  <c r="H9" i="15"/>
  <c r="I9" i="15" s="1"/>
  <c r="K8" i="15"/>
  <c r="J8" i="15"/>
  <c r="I8" i="15"/>
  <c r="H8" i="15"/>
  <c r="K7" i="15"/>
  <c r="J7" i="15"/>
  <c r="H7" i="15"/>
  <c r="I7" i="15" s="1"/>
  <c r="K6" i="15"/>
  <c r="J6" i="15"/>
  <c r="H6" i="15"/>
  <c r="I6" i="15" s="1"/>
  <c r="K5" i="15"/>
  <c r="J5" i="15"/>
  <c r="H5" i="15"/>
  <c r="I5" i="15" s="1"/>
  <c r="K4" i="15"/>
  <c r="J4" i="15"/>
  <c r="I4" i="15"/>
  <c r="H4" i="15"/>
  <c r="K3" i="15"/>
  <c r="J3" i="15"/>
  <c r="H3" i="15"/>
  <c r="I3" i="15" s="1"/>
  <c r="V22" i="13"/>
  <c r="V23" i="13" s="1"/>
  <c r="V21" i="13"/>
  <c r="I20" i="13"/>
  <c r="I19" i="13"/>
  <c r="O17" i="13"/>
  <c r="Q17" i="13" s="1"/>
  <c r="M17" i="13"/>
  <c r="L17" i="13"/>
  <c r="K17" i="13"/>
  <c r="J17" i="13"/>
  <c r="I17" i="13"/>
  <c r="H17" i="13"/>
  <c r="B17" i="13"/>
  <c r="O16" i="13"/>
  <c r="Q16" i="13" s="1"/>
  <c r="M16" i="13"/>
  <c r="L16" i="13"/>
  <c r="K16" i="13"/>
  <c r="J16" i="13"/>
  <c r="I16" i="13"/>
  <c r="H16" i="13"/>
  <c r="B16" i="13"/>
  <c r="O15" i="13"/>
  <c r="M15" i="13"/>
  <c r="L15" i="13"/>
  <c r="K15" i="13"/>
  <c r="J15" i="13"/>
  <c r="I15" i="13"/>
  <c r="H15" i="13"/>
  <c r="Q15" i="13" s="1"/>
  <c r="B15" i="13"/>
  <c r="P15" i="13" s="1"/>
  <c r="O14" i="13"/>
  <c r="Q14" i="13" s="1"/>
  <c r="M14" i="13"/>
  <c r="L14" i="13"/>
  <c r="K14" i="13"/>
  <c r="J14" i="13"/>
  <c r="I14" i="13"/>
  <c r="H14" i="13"/>
  <c r="B14" i="13"/>
  <c r="O13" i="13"/>
  <c r="Q13" i="13" s="1"/>
  <c r="M13" i="13"/>
  <c r="L13" i="13"/>
  <c r="K13" i="13"/>
  <c r="J13" i="13"/>
  <c r="I13" i="13"/>
  <c r="H13" i="13"/>
  <c r="B13" i="13"/>
  <c r="P13" i="13" s="1"/>
  <c r="Q12" i="13"/>
  <c r="O12" i="13"/>
  <c r="M12" i="13"/>
  <c r="L12" i="13"/>
  <c r="K12" i="13"/>
  <c r="J12" i="13"/>
  <c r="I12" i="13"/>
  <c r="H12" i="13"/>
  <c r="B12" i="13"/>
  <c r="P12" i="13" s="1"/>
  <c r="O11" i="13"/>
  <c r="P11" i="13" s="1"/>
  <c r="M11" i="13"/>
  <c r="L11" i="13"/>
  <c r="K11" i="13"/>
  <c r="J11" i="13"/>
  <c r="I11" i="13"/>
  <c r="H11" i="13"/>
  <c r="B11" i="13"/>
  <c r="O10" i="13"/>
  <c r="Q10" i="13" s="1"/>
  <c r="M10" i="13"/>
  <c r="L10" i="13"/>
  <c r="K10" i="13"/>
  <c r="J10" i="13"/>
  <c r="I10" i="13"/>
  <c r="H10" i="13"/>
  <c r="G10" i="13"/>
  <c r="F10" i="13"/>
  <c r="E10" i="13"/>
  <c r="D10" i="13"/>
  <c r="C10" i="13"/>
  <c r="B10" i="13"/>
  <c r="P10" i="13" s="1"/>
  <c r="O9" i="13"/>
  <c r="M9" i="13"/>
  <c r="L9" i="13"/>
  <c r="K9" i="13"/>
  <c r="J9" i="13"/>
  <c r="I9" i="13"/>
  <c r="H9" i="13"/>
  <c r="Q9" i="13" s="1"/>
  <c r="G9" i="13"/>
  <c r="F9" i="13"/>
  <c r="F23" i="13" s="1"/>
  <c r="E9" i="13"/>
  <c r="B9" i="13"/>
  <c r="P9" i="13" s="1"/>
  <c r="Q8" i="13"/>
  <c r="O8" i="13"/>
  <c r="M8" i="13"/>
  <c r="L8" i="13"/>
  <c r="K8" i="13"/>
  <c r="J8" i="13"/>
  <c r="I8" i="13"/>
  <c r="H8" i="13"/>
  <c r="G8" i="13"/>
  <c r="F8" i="13"/>
  <c r="E8" i="13"/>
  <c r="B8" i="13"/>
  <c r="P8" i="13" s="1"/>
  <c r="O7" i="13"/>
  <c r="P7" i="13" s="1"/>
  <c r="M7" i="13"/>
  <c r="L7" i="13"/>
  <c r="K7" i="13"/>
  <c r="J7" i="13"/>
  <c r="I7" i="13"/>
  <c r="H7" i="13"/>
  <c r="G7" i="13"/>
  <c r="F7" i="13"/>
  <c r="E7" i="13"/>
  <c r="B7" i="13"/>
  <c r="O6" i="13"/>
  <c r="Q6" i="13" s="1"/>
  <c r="M6" i="13"/>
  <c r="L6" i="13"/>
  <c r="K6" i="13"/>
  <c r="J6" i="13"/>
  <c r="I6" i="13"/>
  <c r="H6" i="13"/>
  <c r="G6" i="13"/>
  <c r="E6" i="13" s="1"/>
  <c r="F6" i="13"/>
  <c r="B6" i="13"/>
  <c r="O5" i="13"/>
  <c r="Q5" i="13" s="1"/>
  <c r="M5" i="13"/>
  <c r="L5" i="13"/>
  <c r="K5" i="13"/>
  <c r="J5" i="13"/>
  <c r="I5" i="13"/>
  <c r="H5" i="13"/>
  <c r="B5" i="13"/>
  <c r="P5" i="13" s="1"/>
  <c r="O4" i="13"/>
  <c r="Q4" i="13" s="1"/>
  <c r="M4" i="13"/>
  <c r="L4" i="13"/>
  <c r="K4" i="13"/>
  <c r="J4" i="13"/>
  <c r="I4" i="13"/>
  <c r="H4" i="13"/>
  <c r="B4" i="13"/>
  <c r="P4" i="13" s="1"/>
  <c r="O3" i="13"/>
  <c r="Q3" i="13" s="1"/>
  <c r="M3" i="13"/>
  <c r="L3" i="13"/>
  <c r="K3" i="13"/>
  <c r="J3" i="13"/>
  <c r="I3" i="13"/>
  <c r="H3" i="13"/>
  <c r="B3" i="13"/>
  <c r="I20" i="15" l="1"/>
  <c r="I9" i="16"/>
  <c r="H9" i="17"/>
  <c r="P17" i="13"/>
  <c r="Q7" i="13"/>
  <c r="P14" i="13"/>
  <c r="P3" i="13"/>
  <c r="P6" i="13"/>
  <c r="Q11" i="13"/>
  <c r="V24" i="13"/>
  <c r="B20" i="13"/>
  <c r="P16" i="13"/>
</calcChain>
</file>

<file path=xl/sharedStrings.xml><?xml version="1.0" encoding="utf-8"?>
<sst xmlns="http://schemas.openxmlformats.org/spreadsheetml/2006/main" count="2131" uniqueCount="754">
  <si>
    <t>GIÁ SOPHOS THAM KHẢO</t>
  </si>
  <si>
    <t>Model</t>
  </si>
  <si>
    <t>HW</t>
  </si>
  <si>
    <t>Lic 1Y WebServer Protection</t>
  </si>
  <si>
    <t>Lic 1Y Mail Protection</t>
  </si>
  <si>
    <t>License 1Y (Network Protection, Enhanced Support)</t>
  </si>
  <si>
    <t>License 1Y Network Protection</t>
  </si>
  <si>
    <t>License 1Y Enhanced Support</t>
  </si>
  <si>
    <t>License 1Y Standard</t>
  </si>
  <si>
    <t>License 3Y Standard</t>
  </si>
  <si>
    <t>License 5Y Standard</t>
  </si>
  <si>
    <t>License 1Y Xstream</t>
  </si>
  <si>
    <t>License 3Y Xstream</t>
  </si>
  <si>
    <t>License 5Y Xstream</t>
  </si>
  <si>
    <t>Tổng Cổng</t>
  </si>
  <si>
    <t>Giá nhập thiết bị</t>
  </si>
  <si>
    <t>HW+nhap</t>
  </si>
  <si>
    <t>HW+nhap+ Lic  STD 1Y</t>
  </si>
  <si>
    <t>nhập</t>
  </si>
  <si>
    <t>XGS 88</t>
  </si>
  <si>
    <t>XGS 87</t>
  </si>
  <si>
    <t>XGS 108</t>
  </si>
  <si>
    <t>XGS 107</t>
  </si>
  <si>
    <t>XGS 118</t>
  </si>
  <si>
    <t>XGS 116</t>
  </si>
  <si>
    <t>XGS 128</t>
  </si>
  <si>
    <t>XGS 126</t>
  </si>
  <si>
    <t>XGS 138</t>
  </si>
  <si>
    <t>XGS 136</t>
  </si>
  <si>
    <t>XGS 2100</t>
  </si>
  <si>
    <t>XGS 2300</t>
  </si>
  <si>
    <t>XGS 3100</t>
  </si>
  <si>
    <t>XGS 3300</t>
  </si>
  <si>
    <t>XGS 4300</t>
  </si>
  <si>
    <t>XGS 4500</t>
  </si>
  <si>
    <t>XGS 5500</t>
  </si>
  <si>
    <t>XGS 6500</t>
  </si>
  <si>
    <t>XGS 7500</t>
  </si>
  <si>
    <t>XGS 8500</t>
  </si>
  <si>
    <t>Tỷ giá</t>
  </si>
  <si>
    <t>Thuế</t>
  </si>
  <si>
    <t>BOM SOPHOS XGS FIREWALL</t>
  </si>
  <si>
    <t>USD = 26,200 VNĐ</t>
  </si>
  <si>
    <t>STT</t>
  </si>
  <si>
    <t>SKU</t>
  </si>
  <si>
    <t>MODEL</t>
  </si>
  <si>
    <t>Description</t>
  </si>
  <si>
    <t>MÔ TẢ SẢN PHẨM</t>
  </si>
  <si>
    <t>GIÁ THAM KHẢO (USD)</t>
  </si>
  <si>
    <t>NHẬP KHẨU</t>
  </si>
  <si>
    <t>SITE</t>
  </si>
  <si>
    <t>Sophos XGS 88</t>
  </si>
  <si>
    <t>AU</t>
  </si>
  <si>
    <t>XG88ZZ00ZZPCAU</t>
  </si>
  <si>
    <t>XGS 88 Security Appliance</t>
  </si>
  <si>
    <t>XGS 88 Security Appliance - AU power cord</t>
  </si>
  <si>
    <r>
      <rPr>
        <b/>
        <sz val="11"/>
        <color theme="1"/>
        <rFont val="Aptos Narrow"/>
        <family val="2"/>
        <scheme val="minor"/>
      </rPr>
      <t>Sophos XGS 88 Hardware Appliance:</t>
    </r>
    <r>
      <rPr>
        <sz val="11"/>
        <color theme="1"/>
        <rFont val="Aptos Narrow"/>
        <family val="2"/>
        <scheme val="minor"/>
      </rPr>
      <t xml:space="preserve">
XGS 88 HW appliance with 4x 2.5GE ports, flash memory + Base License (incl. FW, VPN, and Wireless) for unlimited users + power cable.</t>
    </r>
  </si>
  <si>
    <t>XS88ZZ12ZZNCAA</t>
  </si>
  <si>
    <t>1-Year Xstream Protection Subscription for XGS 88</t>
  </si>
  <si>
    <t>XGS 88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</si>
  <si>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 88: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</si>
  <si>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ES88ZZ12ZZNCAA</t>
  </si>
  <si>
    <t>1-Year Email Protection Subscription for XGS 88</t>
  </si>
  <si>
    <t>XGS 88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</si>
  <si>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88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</si>
  <si>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SS88ZZ12ZZNCAA</t>
  </si>
  <si>
    <t>1-Year Webserver Protection Subscription for XGS 88</t>
  </si>
  <si>
    <t>XGS 88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</si>
  <si>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88
</t>
    </r>
    <r>
      <rPr>
        <sz val="11"/>
        <color theme="1"/>
        <rFont val="Aptos Narrow"/>
        <family val="2"/>
        <scheme val="minor"/>
      </rPr>
      <t>Features: Web Application Firewall.</t>
    </r>
  </si>
  <si>
    <t>CN</t>
  </si>
  <si>
    <t>XG88ZZ00ZZPCCN</t>
  </si>
  <si>
    <t>XGS 88 Security Appliance - CN power cord</t>
  </si>
  <si>
    <t>EU</t>
  </si>
  <si>
    <t>XG88ZZ00ZZPCEU</t>
  </si>
  <si>
    <t>XGS 88 Security Appliance - EU power cord</t>
  </si>
  <si>
    <t>UK</t>
  </si>
  <si>
    <t>XG88ZZ00ZZPCUK</t>
  </si>
  <si>
    <t>XGS 88 Security Appliance - UK power cord</t>
  </si>
  <si>
    <t>US</t>
  </si>
  <si>
    <t>XG88ZZ00ZZPCUS</t>
  </si>
  <si>
    <t>XGS 88 Security Appliance - US power cord</t>
  </si>
  <si>
    <t>Sophos XGS 108</t>
  </si>
  <si>
    <t>XG108Z00ZZPCAU</t>
  </si>
  <si>
    <t>XGS 108 Security Appliance</t>
  </si>
  <si>
    <t>XGS 108 Security Appliance - AU power cord</t>
  </si>
  <si>
    <r>
      <rPr>
        <b/>
        <sz val="11"/>
        <color theme="1"/>
        <rFont val="Aptos Narrow"/>
        <family val="2"/>
        <scheme val="minor"/>
      </rPr>
      <t>Sophos XGS 108 Hardware Appliance:</t>
    </r>
    <r>
      <rPr>
        <sz val="11"/>
        <color theme="1"/>
        <rFont val="Aptos Narrow"/>
        <family val="2"/>
        <scheme val="minor"/>
      </rPr>
      <t xml:space="preserve">
XGS 108 HW Appliance with 6x 2.5GE + 1 SFP port, SSD + Base License (incl. FW, VPN, and Wireless) for unlimited users + power cable.</t>
    </r>
  </si>
  <si>
    <t>XS108Z12ZZNCAA</t>
  </si>
  <si>
    <t>1-Year Xstream Protection Subscription for XGS108</t>
  </si>
  <si>
    <t>XGS 108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</si>
  <si>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XGS108: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</si>
  <si>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ES108Z12ZZNCAA</t>
  </si>
  <si>
    <t>1-Year Email Protection Subscription for XGS 108</t>
  </si>
  <si>
    <t>XGS 108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</si>
  <si>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108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</si>
  <si>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SS108Z12ZZNCAA</t>
  </si>
  <si>
    <t>1-Year Webserver Protection Subscription for XGS 108</t>
  </si>
  <si>
    <t>XGS 108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</si>
  <si>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108
</t>
    </r>
    <r>
      <rPr>
        <sz val="11"/>
        <color theme="1"/>
        <rFont val="Aptos Narrow"/>
        <family val="2"/>
        <scheme val="minor"/>
      </rPr>
      <t>Features: Web Application Firewall.</t>
    </r>
  </si>
  <si>
    <t>UP108Z12ZZNCAA</t>
  </si>
  <si>
    <t>1-Year Enhanced To Enhanced Plus Upgrade</t>
  </si>
  <si>
    <t>XGS 108 Enhanced to Enhanced Plus Support Upgrade - 12 MOS</t>
  </si>
  <si>
    <t>XG108Z00ZZPCCN</t>
  </si>
  <si>
    <t>XGS 108 Security Appliance - CN power cord</t>
  </si>
  <si>
    <t>XG108Z00ZZPCEU</t>
  </si>
  <si>
    <t>XGS 108 Security Appliance - EU power cord</t>
  </si>
  <si>
    <t>XG108Z00ZZPCUK</t>
  </si>
  <si>
    <t>XGS 108 Security Appliance - UK power cord</t>
  </si>
  <si>
    <t>XG108Z00ZZPCUS</t>
  </si>
  <si>
    <t>XGS 108 Security Appliance - US power cord</t>
  </si>
  <si>
    <t>Sophos XGS 118</t>
  </si>
  <si>
    <t>XG118Z00ZZPCAU</t>
  </si>
  <si>
    <t>XGS 118 Security Appliance</t>
  </si>
  <si>
    <t>XGS 118 Security Appliance - AU power cord</t>
  </si>
  <si>
    <r>
      <rPr>
        <b/>
        <sz val="11"/>
        <color theme="1"/>
        <rFont val="Aptos Narrow"/>
        <family val="2"/>
        <scheme val="minor"/>
      </rPr>
      <t>Sophos XGS 118 Hardware Appliance:</t>
    </r>
    <r>
      <rPr>
        <sz val="11"/>
        <color theme="1"/>
        <rFont val="Aptos Narrow"/>
        <family val="2"/>
        <scheme val="minor"/>
      </rPr>
      <t xml:space="preserve">
XGS 118 HW Appliance with  9x 2.5GE + 1 SFP port, 1 expansion bay for optional 5G module, SSD + Base License (incl. FW, VPN, and Wireless) for unlimited users + power cable.</t>
    </r>
  </si>
  <si>
    <t>XS118Z12ZZNCAA</t>
  </si>
  <si>
    <t>1-Year Xstream Protection Subscription for XGS118</t>
  </si>
  <si>
    <t>XGS 118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</si>
  <si>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XGS118: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</si>
  <si>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SP118Z12ZZNCAA</t>
  </si>
  <si>
    <t>1-Year Standard Protection Subscription for XGS118</t>
  </si>
  <si>
    <t>XGS 118 Standard Protection - 12 MOS</t>
  </si>
  <si>
    <r>
      <rPr>
        <b/>
        <sz val="11"/>
        <color theme="1"/>
        <rFont val="Aptos Narrow"/>
        <family val="2"/>
        <scheme val="minor"/>
      </rPr>
      <t>1-Year Standard Protection Subscription for XGS118: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</si>
  <si>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ES118Z12ZZNCAA</t>
  </si>
  <si>
    <t>1-Year Email Protection Subscription for XGS 118</t>
  </si>
  <si>
    <t>XGS 118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</si>
  <si>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118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</si>
  <si>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SS118Z12ZZNCAA</t>
  </si>
  <si>
    <t>1-Year Webserver Protection Subscription for XGS 118</t>
  </si>
  <si>
    <t>XGS 118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</si>
  <si>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118
</t>
    </r>
    <r>
      <rPr>
        <sz val="11"/>
        <color theme="1"/>
        <rFont val="Aptos Narrow"/>
        <family val="2"/>
        <scheme val="minor"/>
      </rPr>
      <t>Features: Web Application Firewall.</t>
    </r>
  </si>
  <si>
    <t>UP118Z12ZZNCAA</t>
  </si>
  <si>
    <t>XGS 118 Enhanced to Enhanced Plus Support Upgrade - 12 MOS</t>
  </si>
  <si>
    <t>XG118Z00ZZPCCN</t>
  </si>
  <si>
    <t>XGS 118 Security Appliance - CN power cord</t>
  </si>
  <si>
    <t>XG118Z00ZZPCEU</t>
  </si>
  <si>
    <t>XGS 118 Security Appliance - EU power cord</t>
  </si>
  <si>
    <t>XG118Z00ZZPCUK</t>
  </si>
  <si>
    <t>XGS 118 Security Appliance - UK power cord</t>
  </si>
  <si>
    <t>XG118Z00ZZPCUS</t>
  </si>
  <si>
    <t>XGS 118 Security Appliance - US power cord</t>
  </si>
  <si>
    <t>Sophos XGS 128</t>
  </si>
  <si>
    <t>XG128Z00ZZPCAU</t>
  </si>
  <si>
    <t>XGS 128 Security Appliance</t>
  </si>
  <si>
    <t>XGS 128 Security Appliance - AU power cord</t>
  </si>
  <si>
    <r>
      <rPr>
        <b/>
        <sz val="11"/>
        <color theme="1"/>
        <rFont val="Aptos Narrow"/>
        <family val="2"/>
        <scheme val="minor"/>
      </rPr>
      <t>Sophos XGS 128 Hardware Appliance:</t>
    </r>
    <r>
      <rPr>
        <sz val="11"/>
        <color theme="1"/>
        <rFont val="Aptos Narrow"/>
        <family val="2"/>
        <scheme val="minor"/>
      </rPr>
      <t xml:space="preserve">
XGS 128 HW Appliance with  9x 2.5GE + 1 SFP port, 1 expansion bay for optional 5G module, SSD + Base License (incl. FW, VPN, and Wireless) for unlimited users + power cable</t>
    </r>
  </si>
  <si>
    <t>XS128Z12ZZNCAA</t>
  </si>
  <si>
    <t>1-Year Xstream Protection Subscription for XGS128</t>
  </si>
  <si>
    <t>XGS 128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</si>
  <si>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XGS128: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</si>
  <si>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ES128Z12ZZNCAA</t>
  </si>
  <si>
    <t>1-Year Email Protection Subscription for XGS 128</t>
  </si>
  <si>
    <t>XGS 128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</si>
  <si>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128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</si>
  <si>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SP128Z12ZZNCAA</t>
  </si>
  <si>
    <t>1-Year Standard Protection Subscription for XGS128</t>
  </si>
  <si>
    <t>XGS 128 Standard Protection - 12 MOS</t>
  </si>
  <si>
    <r>
      <rPr>
        <b/>
        <sz val="11"/>
        <color theme="1"/>
        <rFont val="Aptos Narrow"/>
        <family val="2"/>
        <scheme val="minor"/>
      </rPr>
      <t>1-Year Standard Protection Subscription for XGS128: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</si>
  <si>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SS128Z12ZZNCAA</t>
  </si>
  <si>
    <t>1-Year Webserver Protection Subscription for XGS 128</t>
  </si>
  <si>
    <t>XGS 128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</si>
  <si>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128
</t>
    </r>
    <r>
      <rPr>
        <sz val="11"/>
        <color theme="1"/>
        <rFont val="Aptos Narrow"/>
        <family val="2"/>
        <scheme val="minor"/>
      </rPr>
      <t>Features: Web Application Firewall.</t>
    </r>
  </si>
  <si>
    <t>UP128Z12ZZNCAA</t>
  </si>
  <si>
    <t>XGS 128 Enhanced to Enhanced Plus Support Upgrade - 12 MOS</t>
  </si>
  <si>
    <t>XG128Z00ZZPCCN</t>
  </si>
  <si>
    <t>XGS 128 Security Appliance - CN power cord</t>
  </si>
  <si>
    <t>XG128Z00ZZPCEU</t>
  </si>
  <si>
    <t>XGS 128 Security Appliance - EU power cord</t>
  </si>
  <si>
    <t>XG128Z00ZZPCUK</t>
  </si>
  <si>
    <t>XGS 128 Security Appliance - UK power cord</t>
  </si>
  <si>
    <t>XG128Z00ZZPCUS</t>
  </si>
  <si>
    <t>XGS 128 Security Appliance - US power cord</t>
  </si>
  <si>
    <t>Sophos XGS 138</t>
  </si>
  <si>
    <t>XG138Z00ZZPCAU</t>
  </si>
  <si>
    <t>XGS 138 Security Appliance</t>
  </si>
  <si>
    <t>XGS 138 Security Appliance - AU power cord</t>
  </si>
  <si>
    <r>
      <rPr>
        <b/>
        <sz val="11"/>
        <color theme="1"/>
        <rFont val="Aptos Narrow"/>
        <family val="2"/>
        <scheme val="minor"/>
      </rPr>
      <t>Sophos XGS 138 Hardware Appliance:</t>
    </r>
    <r>
      <rPr>
        <sz val="11"/>
        <color theme="1"/>
        <rFont val="Aptos Narrow"/>
        <family val="2"/>
        <scheme val="minor"/>
      </rPr>
      <t xml:space="preserve">
XGS 138 HW Appliance with 4 GE + 2x 2.5GE + 2 SFP+ ports, 1 expansion bay for optional 5G module, SSD + Base License (incl. FW, VPN, and Wireless) for unlimited users + power cable</t>
    </r>
  </si>
  <si>
    <t>XS138Z12ZZNCAA</t>
  </si>
  <si>
    <t>1-Year Xstream Protection Subscription for XGS138</t>
  </si>
  <si>
    <t>XGS 138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</si>
  <si>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XGS138: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</si>
  <si>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ES138Z12ZZNCAA</t>
  </si>
  <si>
    <t>1-Year Email Protection Subscription for XGS 138</t>
  </si>
  <si>
    <t>XGS 138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</si>
  <si>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138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</si>
  <si>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SP138Z12ZZNCAA</t>
  </si>
  <si>
    <t>1-Year Standard Protection Subscription for XGS138</t>
  </si>
  <si>
    <t>XGS 138 Standard Protection - 12 MOS</t>
  </si>
  <si>
    <r>
      <rPr>
        <b/>
        <sz val="11"/>
        <color theme="1"/>
        <rFont val="Aptos Narrow"/>
        <family val="2"/>
        <scheme val="minor"/>
      </rPr>
      <t>1-Year Standard Protection Subscription for XGS138: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</si>
  <si>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UP138Z12ZZNCAA</t>
  </si>
  <si>
    <t>XGS 138 Enhanced to Enhanced Plus Support Upgrade - 12 MOS</t>
  </si>
  <si>
    <t>SS138Z12ZZNCAA</t>
  </si>
  <si>
    <t>1-Year Webserver Protection Subscription for XGS 138</t>
  </si>
  <si>
    <t>XGS 138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</si>
  <si>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138
</t>
    </r>
    <r>
      <rPr>
        <sz val="11"/>
        <color theme="1"/>
        <rFont val="Aptos Narrow"/>
        <family val="2"/>
        <scheme val="minor"/>
      </rPr>
      <t>Features: Web Application Firewall.</t>
    </r>
  </si>
  <si>
    <t>XG138Z00ZZPCCN</t>
  </si>
  <si>
    <t>XGS 138 Security Appliance - CN power cord</t>
  </si>
  <si>
    <t>XG138Z00ZZPCEU</t>
  </si>
  <si>
    <t>XGS 138 Security Appliance - EU power cord</t>
  </si>
  <si>
    <t>XG138Z00ZZPCUK</t>
  </si>
  <si>
    <t>XGS 138 Security Appliance - UK power cord</t>
  </si>
  <si>
    <t>XG138Z00ZZPCUS</t>
  </si>
  <si>
    <t>XGS 138 Security Appliance - US power cord</t>
  </si>
  <si>
    <t>Sophos XGS 2100</t>
  </si>
  <si>
    <t>XG2ATCHAU</t>
  </si>
  <si>
    <t>XGS 2100 Security Appliance</t>
  </si>
  <si>
    <t>XGS 2100 Security Appliance - AU power cord</t>
  </si>
  <si>
    <r>
      <rPr>
        <b/>
        <sz val="11"/>
        <color theme="1"/>
        <rFont val="Aptos Narrow"/>
        <family val="2"/>
        <scheme val="minor"/>
      </rPr>
      <t>Sophos XGS 2100 Hardware Appliance:</t>
    </r>
    <r>
      <rPr>
        <sz val="11"/>
        <color theme="1"/>
        <rFont val="Aptos Narrow"/>
        <family val="2"/>
        <scheme val="minor"/>
      </rPr>
      <t xml:space="preserve">
XGS 2100 HW Appliance with 8 GE + 2 SFP ports, 1 expansion bay for optional Flexi Port module, SSD + Base License (incl. FW, VPN &amp; Wireless) for unlimited users + power cable.</t>
    </r>
  </si>
  <si>
    <t>XS210012ZZNCAA</t>
  </si>
  <si>
    <t>1-Year Xstream Protection Subscription for XGS 2100</t>
  </si>
  <si>
    <t>XGS 2100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</si>
  <si>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 2100: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</si>
  <si>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SP210012ZZNCAA</t>
  </si>
  <si>
    <t>1-Year Standard Protection Subscription for XGS2100</t>
  </si>
  <si>
    <t>XGS 2100 Standard Protection - 12 MOS</t>
  </si>
  <si>
    <r>
      <rPr>
        <b/>
        <sz val="11"/>
        <color theme="1"/>
        <rFont val="Aptos Narrow"/>
        <family val="2"/>
        <scheme val="minor"/>
      </rPr>
      <t>1-Year Standard Protection Subscription for XGS2100: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</si>
  <si>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ES210012ZZNCAA</t>
  </si>
  <si>
    <t>1-Year Email Protection Subscription for XGS 2100</t>
  </si>
  <si>
    <t>XGS 2100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</si>
  <si>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2100: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</si>
  <si>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SS210012ZZNCAA</t>
  </si>
  <si>
    <t>1-Year Webserver Protection Subscription for XGS 2100</t>
  </si>
  <si>
    <t>XGS 2100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</si>
  <si>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2100:
</t>
    </r>
    <r>
      <rPr>
        <sz val="11"/>
        <color theme="1"/>
        <rFont val="Aptos Narrow"/>
        <family val="2"/>
        <scheme val="minor"/>
      </rPr>
      <t>Features: Web Application Firewall.</t>
    </r>
  </si>
  <si>
    <t>ZD210012ZZNCAA</t>
  </si>
  <si>
    <t>1-Year  ZERO-DAY PROTECTION For XGS 2100</t>
  </si>
  <si>
    <t>XGS 2100 Zero-Day Protection - 12 MOS</t>
  </si>
  <si>
    <t>1-Year  ZERO-DAY PROTECTION For XGS 2100:
Features:
- Dynamic Sandbox Analysis
- Threat Intelligence Analysis</t>
  </si>
  <si>
    <t>UP210012ZZNCAA</t>
  </si>
  <si>
    <t>XGS 2100 Enhanced to Enhanced Plus Support Upgrade - 12 MOS</t>
  </si>
  <si>
    <t>NS210012ZZNCAA</t>
  </si>
  <si>
    <t>License 1Y Network Protection XGS 2100</t>
  </si>
  <si>
    <t>XGS 2100 Network Protection - 12 MOS</t>
  </si>
  <si>
    <t>SE210012ZZNCAA</t>
  </si>
  <si>
    <t>License 1Y Enhanced Support XGS 2100</t>
  </si>
  <si>
    <t>XGS 2100 Enhanced Support - 12 MOS</t>
  </si>
  <si>
    <t>XG2ATCHCN</t>
  </si>
  <si>
    <t>XGS 2100 Security Appliance - CN power cord</t>
  </si>
  <si>
    <t>EU/UK</t>
  </si>
  <si>
    <t>XG2ATCHEUK</t>
  </si>
  <si>
    <t>XGS 2100 Security Appliance - EU/UK power cord</t>
  </si>
  <si>
    <t>XG2ATCHUS</t>
  </si>
  <si>
    <t>XGS 2100 Security Appliance - US power cord</t>
  </si>
  <si>
    <t>Sophos XGS 2300</t>
  </si>
  <si>
    <t>XG2CTCHAU</t>
  </si>
  <si>
    <t>XGS 2300 Security Appliance</t>
  </si>
  <si>
    <t>XGS 2300 Security Appliance - AU power cord</t>
  </si>
  <si>
    <r>
      <rPr>
        <b/>
        <sz val="11"/>
        <color theme="1"/>
        <rFont val="Aptos Narrow"/>
        <family val="2"/>
        <scheme val="minor"/>
      </rPr>
      <t>Sophos XGS 2300 Hardware Appliance:</t>
    </r>
    <r>
      <rPr>
        <sz val="11"/>
        <color theme="1"/>
        <rFont val="Aptos Narrow"/>
        <family val="2"/>
        <scheme val="minor"/>
      </rPr>
      <t xml:space="preserve">
XGS 2300 HW Appliance with 8 GE + 2 SFP ports, 1 expansion bay for optional Flexi Port module, SSD + Base License (incl. FW, VPN &amp; Wireless) for unlimited users + power cable.</t>
    </r>
  </si>
  <si>
    <t>XS230012ZZNCAA</t>
  </si>
  <si>
    <t>1-Year Xstream Protection Subscription for XGS 2300</t>
  </si>
  <si>
    <t>XGS 2300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</si>
  <si>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 2300: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</si>
  <si>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SP230012ZZNCAA</t>
  </si>
  <si>
    <t>1-Year Standard Protection Subscription for XG2300</t>
  </si>
  <si>
    <t>XGS 2300 Standard Protection - 12 MOS</t>
  </si>
  <si>
    <r>
      <rPr>
        <b/>
        <sz val="11"/>
        <color theme="1"/>
        <rFont val="Aptos Narrow"/>
        <family val="2"/>
        <scheme val="minor"/>
      </rPr>
      <t>1-Year Standard Protection Subscription for XG2300: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</si>
  <si>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ES230012ZZNCAA</t>
  </si>
  <si>
    <t>1-Year Email Protection Subscription for XGS 2300</t>
  </si>
  <si>
    <t>XGS 2300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</si>
  <si>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2300: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</si>
  <si>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SS230012ZZNCAA</t>
  </si>
  <si>
    <t>1-Year Webserver Protection Subscription for XGS 2300</t>
  </si>
  <si>
    <t>XGS 2300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</si>
  <si>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2300:
</t>
    </r>
    <r>
      <rPr>
        <sz val="11"/>
        <color theme="1"/>
        <rFont val="Aptos Narrow"/>
        <family val="2"/>
        <scheme val="minor"/>
      </rPr>
      <t>Features: Web Application Firewall.</t>
    </r>
  </si>
  <si>
    <t>UP230012ZZNCAA</t>
  </si>
  <si>
    <t>XGS 2300 Enhanced to Enhanced Plus Support Upgrade - 12 MOS</t>
  </si>
  <si>
    <t>NS230012ZZNCAA</t>
  </si>
  <si>
    <t>License 1Y Network Protection XGS 2300</t>
  </si>
  <si>
    <t>XGS 2300 Network Protection - 12 MOS</t>
  </si>
  <si>
    <t>SE230012ZZNCAA</t>
  </si>
  <si>
    <t>License 1Y Enhanced Support XGS 2300</t>
  </si>
  <si>
    <t>XGS 2300 Enhanced Support - 12 MOS</t>
  </si>
  <si>
    <t>XG2CTCHCN</t>
  </si>
  <si>
    <t>XGS 2300 Security Appliance - CN power cord</t>
  </si>
  <si>
    <t>XG2CTCHEUK</t>
  </si>
  <si>
    <t>XGS 2300 Security Appliance - EU/UK power cord</t>
  </si>
  <si>
    <t>XG2CTCHUS</t>
  </si>
  <si>
    <t>XGS 2300 Security Appliance - US power cord</t>
  </si>
  <si>
    <t>Sophos XGS3100</t>
  </si>
  <si>
    <t>XG3ATCHAU</t>
  </si>
  <si>
    <t>XGS 3100 Security Appliance</t>
  </si>
  <si>
    <t>XGS 3100 Security Appliance - AU power cord</t>
  </si>
  <si>
    <r>
      <rPr>
        <b/>
        <sz val="11"/>
        <color theme="1"/>
        <rFont val="Aptos Narrow"/>
        <family val="2"/>
        <scheme val="minor"/>
      </rPr>
      <t>Sophos XGS 3100 Hardware Appliance:</t>
    </r>
    <r>
      <rPr>
        <sz val="11"/>
        <color theme="1"/>
        <rFont val="Aptos Narrow"/>
        <family val="2"/>
        <scheme val="minor"/>
      </rPr>
      <t xml:space="preserve">
XGS 3100 HW Appliance with 8 GE + 2 SFP + 2 SFP+ ports, 1 expansion bay for optional Flexi Port module, SSD + Base License (incl. FW, VPN &amp; Wireless) for unlimited users + power cable.</t>
    </r>
  </si>
  <si>
    <t>XS310012ZZNCAA</t>
  </si>
  <si>
    <t>1-Year Xstream Protection Subscription for XGS3100</t>
  </si>
  <si>
    <t>XGS 3100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</si>
  <si>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XGS3100: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</si>
  <si>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SP310012ZZNCAA</t>
  </si>
  <si>
    <t>1-Year Standard Protection Subscription for XGS3100</t>
  </si>
  <si>
    <t>XGS 3100 Standard Protection - 12 MOS</t>
  </si>
  <si>
    <r>
      <rPr>
        <b/>
        <sz val="11"/>
        <color theme="1"/>
        <rFont val="Aptos Narrow"/>
        <family val="2"/>
        <scheme val="minor"/>
      </rPr>
      <t>1-Year Standard Protection Subscription for XGS3100: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</si>
  <si>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UP310012ZZNCAA</t>
  </si>
  <si>
    <t>XGS 3100 Enhanced to Enhanced Plus Support Upgrade - 12 MOS</t>
  </si>
  <si>
    <t>ES310012ZZNCAA</t>
  </si>
  <si>
    <t>1-Year Email Protection Subscription for XGS 3100</t>
  </si>
  <si>
    <t>XGS 3100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</si>
  <si>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3100: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</si>
  <si>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SS310012ZZNCAA</t>
  </si>
  <si>
    <t>1-Year Webserver Protection Subscription for XGS 3100</t>
  </si>
  <si>
    <t>XGS 3100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</si>
  <si>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3100:
</t>
    </r>
    <r>
      <rPr>
        <sz val="11"/>
        <color theme="1"/>
        <rFont val="Aptos Narrow"/>
        <family val="2"/>
        <scheme val="minor"/>
      </rPr>
      <t>Features: Web Application Firewall.</t>
    </r>
  </si>
  <si>
    <t>NS310012ZZNCAA</t>
  </si>
  <si>
    <t>1-Year Network Protection Subscription for XGS 3100</t>
  </si>
  <si>
    <t>XGS 3100 Network Protection - 12 MOS</t>
  </si>
  <si>
    <r>
      <rPr>
        <b/>
        <sz val="11"/>
        <color theme="1"/>
        <rFont val="Aptos Narrow"/>
        <family val="2"/>
        <scheme val="minor"/>
      </rPr>
      <t>1-Year Network Protection Subscription for XGS 3100</t>
    </r>
    <r>
      <rPr>
        <sz val="11"/>
        <color theme="1"/>
        <rFont val="Aptos Narrow"/>
        <family val="2"/>
        <scheme val="minor"/>
      </rPr>
      <t>:
Xstream TLS and DPI engine, IPS, ATP, 
Security Heartbeat, SD-RED VPN, reporting</t>
    </r>
  </si>
  <si>
    <t>SE310012ZZNCAA</t>
  </si>
  <si>
    <t>1-Year  Enhanced Support for XGS 3100</t>
  </si>
  <si>
    <t>XGS 3100 Enhanced Support - 12 MOS</t>
  </si>
  <si>
    <r>
      <rPr>
        <b/>
        <sz val="11"/>
        <color theme="1"/>
        <rFont val="Aptos Narrow"/>
        <family val="2"/>
        <scheme val="minor"/>
      </rPr>
      <t>1-Year  Enhanced Support for XGS 3100</t>
    </r>
    <r>
      <rPr>
        <sz val="11"/>
        <color theme="1"/>
        <rFont val="Aptos Narrow"/>
        <family val="2"/>
        <scheme val="minor"/>
      </rPr>
      <t>:
24/7 support, feature updates, advanced 
replacement hardware warranty for term</t>
    </r>
  </si>
  <si>
    <t>XG3ATCHCN</t>
  </si>
  <si>
    <t>XGS 3100 Security Appliance - CN power cord</t>
  </si>
  <si>
    <t>XG3ATCHEUK</t>
  </si>
  <si>
    <t>XGS 3100 Security Appliance - EU/UK power cord</t>
  </si>
  <si>
    <t>XG3ATCHUS</t>
  </si>
  <si>
    <t>XGS 3100 Security Appliance - US power cord</t>
  </si>
  <si>
    <t>Sophos XGS 3300</t>
  </si>
  <si>
    <t>XG3CTCHAU</t>
  </si>
  <si>
    <t>XGS 3300 Security Appliance</t>
  </si>
  <si>
    <t>XGS 3300 Security Appliance - AU power cord</t>
  </si>
  <si>
    <r>
      <rPr>
        <b/>
        <sz val="11"/>
        <color theme="1"/>
        <rFont val="Aptos Narrow"/>
        <family val="2"/>
        <scheme val="minor"/>
      </rPr>
      <t>Sophos XGS 3300 Hardware Appliance:</t>
    </r>
    <r>
      <rPr>
        <sz val="11"/>
        <color theme="1"/>
        <rFont val="Aptos Narrow"/>
        <family val="2"/>
        <scheme val="minor"/>
      </rPr>
      <t xml:space="preserve">
XGS 3300 HW Appliance with 8 GE + 2 SFP + 2 SFP+ ports, 1 expansion bay for optional Flexi Port module, SSD + Base License (incl. FW, VPN &amp; Wireless) for unlimited users + power cable.</t>
    </r>
  </si>
  <si>
    <t>XS330012ZZNCAA</t>
  </si>
  <si>
    <t>1-Year Xstream Protection Subscription for XGS 3300</t>
  </si>
  <si>
    <t>XGS 3300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</si>
  <si>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 3300: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</si>
  <si>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SP330012ZZNCAA</t>
  </si>
  <si>
    <t>1-Year Standard Protection Subscription for XGS3300</t>
  </si>
  <si>
    <t>XGS 3300 Standard Protection - 12 MOS</t>
  </si>
  <si>
    <r>
      <rPr>
        <b/>
        <sz val="11"/>
        <color theme="1"/>
        <rFont val="Aptos Narrow"/>
        <family val="2"/>
        <scheme val="minor"/>
      </rPr>
      <t>1-Year Standard Protection Subscription for XGS3300: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</si>
  <si>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ES330012ZZNCAA</t>
  </si>
  <si>
    <t>1-Year Email Protection Subscription for XGS 3300</t>
  </si>
  <si>
    <t>XGS 3300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</si>
  <si>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3300: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</si>
  <si>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SS330012ZZNCAA</t>
  </si>
  <si>
    <t>1-Year Webserver Protection Subscription for XGS 3300</t>
  </si>
  <si>
    <t>XGS 3300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</si>
  <si>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3300:
</t>
    </r>
    <r>
      <rPr>
        <sz val="11"/>
        <color theme="1"/>
        <rFont val="Aptos Narrow"/>
        <family val="2"/>
        <scheme val="minor"/>
      </rPr>
      <t>Features: Web Application Firewall.</t>
    </r>
  </si>
  <si>
    <t>UP330012ZZNCAA</t>
  </si>
  <si>
    <t>XGS 3300 Enhanced to Enhanced Plus Support Upgrade - 12 MOS</t>
  </si>
  <si>
    <t>XG3CTCHCN</t>
  </si>
  <si>
    <t>XGS 3300 Security Appliance - CN power cord</t>
  </si>
  <si>
    <t>XG3CTCHEUK</t>
  </si>
  <si>
    <t>XGS 3300 Security Appliance - EU/UK power cord</t>
  </si>
  <si>
    <t>XG3CTCHUS</t>
  </si>
  <si>
    <t>XGS 3300 Security Appliance - US power cord</t>
  </si>
  <si>
    <t>Sophos XGS 4300</t>
  </si>
  <si>
    <t>XG4CTCHAU</t>
  </si>
  <si>
    <t>XGS 4300 Security Appliance</t>
  </si>
  <si>
    <t>XGS 4300 Security Appliance - AU power cord</t>
  </si>
  <si>
    <r>
      <rPr>
        <b/>
        <sz val="11"/>
        <color theme="1"/>
        <rFont val="Aptos Narrow"/>
        <family val="2"/>
        <scheme val="minor"/>
      </rPr>
      <t>Sophos XGS 4300 Hardware Appliance:</t>
    </r>
    <r>
      <rPr>
        <sz val="11"/>
        <color theme="1"/>
        <rFont val="Aptos Narrow"/>
        <family val="2"/>
        <scheme val="minor"/>
      </rPr>
      <t xml:space="preserve">
XGS 4300 HW Appliance with 4 GE + 4x 2.5GE + 4 SFP+ ports, 2 expansion bays for optional Flexi Port modules, SSD + Base License (incl. FW, VPN &amp; Wireless) for unlimited users + power cable.</t>
    </r>
  </si>
  <si>
    <t>XS430012ZZNCAA</t>
  </si>
  <si>
    <t>1-Year Xstream Protection Subscription for XGS 4300</t>
  </si>
  <si>
    <t>XGS 4300 Xstream Protection - 12 MOS</t>
  </si>
  <si>
    <r>
      <rPr>
        <b/>
        <sz val="11"/>
        <color theme="1"/>
        <rFont val="Aptos Narrow"/>
        <family val="2"/>
        <scheme val="minor"/>
      </rPr>
      <t>1-Year Xstream Protection Subscription for XGS 4300: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</si>
  <si>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SP430012ZZNCAA</t>
  </si>
  <si>
    <t>1-Year Standard Protection Subscription for XGS4300</t>
  </si>
  <si>
    <t>XGS 4300 Standard Protection - 12 MOS</t>
  </si>
  <si>
    <r>
      <rPr>
        <b/>
        <sz val="11"/>
        <color theme="1"/>
        <rFont val="Aptos Narrow"/>
        <family val="2"/>
        <scheme val="minor"/>
      </rPr>
      <t>1-Year Standard Protection Subscription for XGS4300: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</si>
  <si>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UP430012ZZNCAA</t>
  </si>
  <si>
    <t>XGS 4300 Enhanced to Enhanced Plus Support Upgrade - 12 MOS</t>
  </si>
  <si>
    <t>ES430012ZZNCAA</t>
  </si>
  <si>
    <t>1-Year Email Protection Subscription for XGS 4300</t>
  </si>
  <si>
    <t>XGS 4300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</si>
  <si>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4300: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</si>
  <si>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SS430012ZZNCAA</t>
  </si>
  <si>
    <t>1-Year Webserver Protection Subscription for XGS 4300</t>
  </si>
  <si>
    <t>XGS 4300 Webserver Protection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</si>
  <si>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4300:
</t>
    </r>
    <r>
      <rPr>
        <sz val="11"/>
        <color theme="1"/>
        <rFont val="Aptos Narrow"/>
        <family val="2"/>
        <scheme val="minor"/>
      </rPr>
      <t>Features: Web Application Firewall.</t>
    </r>
  </si>
  <si>
    <t>XG4CTCHCN</t>
  </si>
  <si>
    <t>XGS 4300 Security Appliance - CN power cord</t>
  </si>
  <si>
    <t>XG4CTCHEUK</t>
  </si>
  <si>
    <t>XGS 4300 Security Appliance - EU/UK power cord</t>
  </si>
  <si>
    <t>XG4CTCHUS</t>
  </si>
  <si>
    <t>XGS 4300 Security Appliance - US power cord</t>
  </si>
  <si>
    <t>Sophos XGS 4500</t>
  </si>
  <si>
    <t>XG4ETCHAU</t>
  </si>
  <si>
    <t>XGS 4500 Security Appliance</t>
  </si>
  <si>
    <t>XGS 4500 Security Appliance - AU power cord</t>
  </si>
  <si>
    <r>
      <rPr>
        <b/>
        <sz val="11"/>
        <color theme="1"/>
        <rFont val="Aptos Narrow"/>
        <family val="2"/>
        <scheme val="minor"/>
      </rPr>
      <t>Sophos XGS 4500 Hardware Appliance:</t>
    </r>
    <r>
      <rPr>
        <sz val="11"/>
        <color theme="1"/>
        <rFont val="Aptos Narrow"/>
        <family val="2"/>
        <scheme val="minor"/>
      </rPr>
      <t xml:space="preserve">
XGS 4500 HW Appliance with 4 GE + 4x 2.5GE + 4 SFP+ ports, 2 expansion bays for optional Flexi Port modules, 2 x SSD + Base License (incl. FW, VPN &amp; Wireless) for unlimited users + power cable.</t>
    </r>
  </si>
  <si>
    <t>XS450036ZZNCAA</t>
  </si>
  <si>
    <t>3-Year Xstream Protection Subscription for XGS 4500</t>
  </si>
  <si>
    <t>XGS 4500 Xstream Protection - 36 MOS</t>
  </si>
  <si>
    <r>
      <rPr>
        <b/>
        <sz val="11"/>
        <color theme="1"/>
        <rFont val="Aptos Narrow"/>
        <family val="2"/>
        <scheme val="minor"/>
      </rPr>
      <t>3-Year Xstream Protection Subscription for XGS 4500: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</si>
  <si>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ES450012ZZNCAA</t>
  </si>
  <si>
    <t>1-Year Email Protection Subscription for XGS 4500</t>
  </si>
  <si>
    <t>XGS 4500 Email Protection - 12 MOS</t>
  </si>
  <si>
    <r>
      <rPr>
        <b/>
        <sz val="11"/>
        <color theme="1"/>
        <rFont val="Aptos Narrow"/>
        <family val="2"/>
        <scheme val="minor"/>
      </rPr>
      <t>1-Year Email Protection Subscription for XGS 4500: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</si>
  <si>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SS450036ZZNCAA</t>
  </si>
  <si>
    <t>3-Year Webserver Protection Subscription for XGS 4500</t>
  </si>
  <si>
    <t>XGS 4500 Webserver Protection - 36 MOS</t>
  </si>
  <si>
    <r>
      <rPr>
        <b/>
        <sz val="11"/>
        <color theme="1"/>
        <rFont val="Aptos Narrow"/>
        <family val="2"/>
        <scheme val="minor"/>
      </rPr>
      <t xml:space="preserve">3-Year Webserver Protection Subscription for XGS 4500:
</t>
    </r>
    <r>
      <rPr>
        <sz val="11"/>
        <color theme="1"/>
        <rFont val="Aptos Narrow"/>
        <family val="2"/>
        <scheme val="minor"/>
      </rPr>
      <t>Features: Web Application Firewall.</t>
    </r>
  </si>
  <si>
    <t>UP450012ZZNCAA</t>
  </si>
  <si>
    <t>XGS 4500 Enhanced to Enhanced Plus Support Upgrade - 12 MOS</t>
  </si>
  <si>
    <t>XG4ETCHCN</t>
  </si>
  <si>
    <t>XGS 4500 Security Appliance - CN power cord</t>
  </si>
  <si>
    <t>XG4ETCHEUK</t>
  </si>
  <si>
    <t>XGS 4500 Security Appliance - EU/UK power cord</t>
  </si>
  <si>
    <t>XG4ETCHUS</t>
  </si>
  <si>
    <t>XGS 4500 Security Appliance - US power cord</t>
  </si>
  <si>
    <t>BOM SOPHOS FIREWALL XGS</t>
  </si>
  <si>
    <t>Sophos XGS 5500</t>
  </si>
  <si>
    <t>XG5ETCHAU</t>
  </si>
  <si>
    <t>XGS 5500 Security Appliance</t>
  </si>
  <si>
    <t>XGS 5500 Security Appliance - AU power cord</t>
  </si>
  <si>
    <r>
      <rPr>
        <b/>
        <sz val="11"/>
        <color theme="1"/>
        <rFont val="Arial"/>
        <family val="2"/>
      </rPr>
      <t>Sophos XGS 5500 Hardware Appliance:</t>
    </r>
    <r>
      <rPr>
        <sz val="11"/>
        <color theme="1"/>
        <rFont val="Arial"/>
        <family val="2"/>
      </rPr>
      <t xml:space="preserve">
XGS 5500 HW Appliance with 8 GE + 8 SFP+ ports, 2+1 expansion bays for optional Flexi Port modules (1x High-density), 2 x SSD + Base License (incl. FW, VPN &amp; Wireless) for unlimited users + power cable.</t>
    </r>
  </si>
  <si>
    <t>XS550012ZZNCAA</t>
  </si>
  <si>
    <t>1-Year Xstream Protection Subscription for XGS 5500</t>
  </si>
  <si>
    <t>XGS 5500 Xstream Protection - 12 MOS</t>
  </si>
  <si>
    <r>
      <rPr>
        <b/>
        <sz val="11"/>
        <color theme="1"/>
        <rFont val="Arial"/>
        <family val="2"/>
      </rPr>
      <t>1-Year Xstream Protection Subscription for XGS 5500: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</si>
  <si>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ES550012ZZNCAA</t>
  </si>
  <si>
    <t>1-Year Email Protection Subscription for XGS 5500</t>
  </si>
  <si>
    <t>XGS 5500 Email Protection - 12 MOS</t>
  </si>
  <si>
    <r>
      <rPr>
        <b/>
        <sz val="11"/>
        <color theme="1"/>
        <rFont val="Arial"/>
        <family val="2"/>
      </rPr>
      <t>1-Year Email Protection Subscription for XGS 5500:</t>
    </r>
    <r>
      <rPr>
        <sz val="11"/>
        <color theme="1"/>
        <rFont val="Arial"/>
        <family val="2"/>
      </rPr>
      <t xml:space="preserve">
Features: On-box antispam, AV, DLP, Email encryption.</t>
    </r>
  </si>
  <si>
    <t>SS550012ZZNCAA</t>
  </si>
  <si>
    <t>1-Year Webserver Protection Subscription for XGS 5500</t>
  </si>
  <si>
    <t>XGS 5500 Webserver Protection - 12 MOS</t>
  </si>
  <si>
    <r>
      <rPr>
        <b/>
        <sz val="11"/>
        <color theme="1"/>
        <rFont val="Arial"/>
        <family val="2"/>
      </rPr>
      <t xml:space="preserve">1-Year Webserver Protection Subscription for XGS 5500:
</t>
    </r>
    <r>
      <rPr>
        <sz val="11"/>
        <color theme="1"/>
        <rFont val="Arial"/>
        <family val="2"/>
      </rPr>
      <t>Features: Web Application Firewall.</t>
    </r>
  </si>
  <si>
    <t>XG5ETCHCN</t>
  </si>
  <si>
    <t>XGS 5500 Security Appliance - CN power cord</t>
  </si>
  <si>
    <t>XG5ETCHEUK</t>
  </si>
  <si>
    <t>XGS 5500 Security Appliance - EU/UK power cord</t>
  </si>
  <si>
    <t>XG5ETCHUS</t>
  </si>
  <si>
    <t>XGS 5500 Security Appliance - US power cord</t>
  </si>
  <si>
    <t>Sophos XGS 6500</t>
  </si>
  <si>
    <t>XG6ETCHAU</t>
  </si>
  <si>
    <t>XGS 6500 Security Appliance</t>
  </si>
  <si>
    <t>XGS 6500 Security Appliance - AU power cord</t>
  </si>
  <si>
    <r>
      <rPr>
        <b/>
        <sz val="11"/>
        <color theme="1"/>
        <rFont val="Arial"/>
        <family val="2"/>
      </rPr>
      <t>Sophos XGS 6500 Hardware Appliance:</t>
    </r>
    <r>
      <rPr>
        <sz val="11"/>
        <color theme="1"/>
        <rFont val="Arial"/>
        <family val="2"/>
      </rPr>
      <t xml:space="preserve">
XGS 6500 HW Appliance with 8 GE + 12 SFP+ ports, 2+2 expansion bays for optional Flexi Port modules (2x High-density), 2 x SSD + Base License (incl. FW, VPN &amp; Wireless) for unlimited users + power cable.</t>
    </r>
  </si>
  <si>
    <t>XS650012ZZNCAA</t>
  </si>
  <si>
    <t>1-Year Xstream Protection Subscription for XGS 6500</t>
  </si>
  <si>
    <t>XGS 6500 Xstream Protection - 12 MOS</t>
  </si>
  <si>
    <r>
      <rPr>
        <b/>
        <sz val="11"/>
        <color theme="1"/>
        <rFont val="Arial"/>
        <family val="2"/>
      </rPr>
      <t>1-Year Xstream Protection Subscription for XGS 6500: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</si>
  <si>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ES650012ZZNCAA</t>
  </si>
  <si>
    <t>1-Year Email Protection Subscription for XGS 6500</t>
  </si>
  <si>
    <t>XGS 6500 Email Protection - 12 MOS</t>
  </si>
  <si>
    <r>
      <rPr>
        <b/>
        <sz val="11"/>
        <color theme="1"/>
        <rFont val="Arial"/>
        <family val="2"/>
      </rPr>
      <t>1-Year Email Protection Subscription for XGS 6500:</t>
    </r>
    <r>
      <rPr>
        <sz val="11"/>
        <color theme="1"/>
        <rFont val="Arial"/>
        <family val="2"/>
      </rPr>
      <t xml:space="preserve">
Features: On-box antispam, AV, DLP, Email encryption.</t>
    </r>
  </si>
  <si>
    <t>SS650012ZZNCAA</t>
  </si>
  <si>
    <t>1-Year Webserver Protection Subscription for XGS 6500</t>
  </si>
  <si>
    <t>XGS 6500 Webserver Protection - 12 MOS</t>
  </si>
  <si>
    <r>
      <rPr>
        <b/>
        <sz val="11"/>
        <color theme="1"/>
        <rFont val="Arial"/>
        <family val="2"/>
      </rPr>
      <t xml:space="preserve">1-Year Webserver Protection Subscription for XGS 6500:
</t>
    </r>
    <r>
      <rPr>
        <sz val="11"/>
        <color theme="1"/>
        <rFont val="Arial"/>
        <family val="2"/>
      </rPr>
      <t>Features: Web Application Firewall.</t>
    </r>
  </si>
  <si>
    <t>XG6ETCHCN</t>
  </si>
  <si>
    <t>XGS 6500 Security Appliance - CN power cord</t>
  </si>
  <si>
    <t>XG6ETCHEUK</t>
  </si>
  <si>
    <t>XGS 6500 Security Appliance - EU/UK power cord</t>
  </si>
  <si>
    <t>XG6ETCHUS</t>
  </si>
  <si>
    <t>XGS 6500 Security Appliance - US power cord</t>
  </si>
  <si>
    <t>Sophos XGS 7500</t>
  </si>
  <si>
    <t>XG7ETCHAU</t>
  </si>
  <si>
    <t>XGS 7500 Security Appliance</t>
  </si>
  <si>
    <t>XGS 7500 Security Appliance - AU power cord</t>
  </si>
  <si>
    <r>
      <rPr>
        <b/>
        <sz val="11"/>
        <color theme="1"/>
        <rFont val="Arial"/>
        <family val="2"/>
      </rPr>
      <t>Sophos XGS 7500 Hardware Appliance:</t>
    </r>
    <r>
      <rPr>
        <sz val="11"/>
        <color theme="1"/>
        <rFont val="Arial"/>
        <family val="2"/>
      </rPr>
      <t xml:space="preserve">
XGS 7500 HW Appliance with 8 GE + 12 SFP+ ports, 2 QSFP28 (up to 40 Gbps), 2+2 expansion bays for optional Flexi Port modules (2x High-density), 2 x SSD + Base License (incl. FW, VPN &amp; Wireless) for unlimited users + power cable.</t>
    </r>
  </si>
  <si>
    <t>XS750012ZZNCAA</t>
  </si>
  <si>
    <t>1-Year Xstream Protection Subscription for XGS 7500</t>
  </si>
  <si>
    <t>XGS 7500 Xstream Protection - 12 MOS</t>
  </si>
  <si>
    <r>
      <rPr>
        <b/>
        <sz val="11"/>
        <color theme="1"/>
        <rFont val="Arial"/>
        <family val="2"/>
      </rPr>
      <t>1-Year Xstream Protection Subscription for XGS 7500: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</si>
  <si>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ES750012ZZNCAA</t>
  </si>
  <si>
    <t>1-Year Email Protection Subscription for XGS 7500</t>
  </si>
  <si>
    <t>XGS 7500 Email Protection - 12 MOS</t>
  </si>
  <si>
    <r>
      <rPr>
        <b/>
        <sz val="11"/>
        <color theme="1"/>
        <rFont val="Arial"/>
        <family val="2"/>
      </rPr>
      <t>1-Year Email Protection Subscription for XGS 7500:</t>
    </r>
    <r>
      <rPr>
        <sz val="11"/>
        <color theme="1"/>
        <rFont val="Arial"/>
        <family val="2"/>
      </rPr>
      <t xml:space="preserve">
Features: On-box antispam, AV, DLP, Email encryption.</t>
    </r>
  </si>
  <si>
    <t>SS750012ZZNCAA</t>
  </si>
  <si>
    <t>1-Year Webserver Protection Subscription for XGS 7500</t>
  </si>
  <si>
    <t>XGS 7500 Webserver Protection - 12 MOS</t>
  </si>
  <si>
    <r>
      <rPr>
        <b/>
        <sz val="11"/>
        <color theme="1"/>
        <rFont val="Arial"/>
        <family val="2"/>
      </rPr>
      <t xml:space="preserve">1-Year Webserver Protection Subscription for XGS 7500:
</t>
    </r>
    <r>
      <rPr>
        <sz val="11"/>
        <color theme="1"/>
        <rFont val="Arial"/>
        <family val="2"/>
      </rPr>
      <t>Features: Web Application Firewall.</t>
    </r>
  </si>
  <si>
    <t>XG7ETCHCN</t>
  </si>
  <si>
    <t>XGS 7500 Security Appliance - CN power cord</t>
  </si>
  <si>
    <t>XG7ETCHEUK</t>
  </si>
  <si>
    <t>XGS 7500 Security Appliance - EU/UK power cord</t>
  </si>
  <si>
    <t>XG7ETCHUS</t>
  </si>
  <si>
    <t>XGS 7500 Security Appliance - US power cord</t>
  </si>
  <si>
    <t>Sophos XGS 8500</t>
  </si>
  <si>
    <t>XG8ETCHAU</t>
  </si>
  <si>
    <t>XGS 8500 Security Appliance</t>
  </si>
  <si>
    <t>XGS 8500 Security Appliance - AU power cord</t>
  </si>
  <si>
    <r>
      <rPr>
        <b/>
        <sz val="11"/>
        <color theme="1"/>
        <rFont val="Arial"/>
        <family val="2"/>
      </rPr>
      <t>Sophos XGS 8500 Hardware Appliance:</t>
    </r>
    <r>
      <rPr>
        <sz val="11"/>
        <color theme="1"/>
        <rFont val="Arial"/>
        <family val="2"/>
      </rPr>
      <t xml:space="preserve">
XGS 8500 HW Appliance with 8 GE + 12 SFP+ ports, 2 QSFP28 (up to 100 Gbps), 2+2 expansion bays for optional Flexi Port modules (2x High-density), 2 x SSD + Base License (incl. FW, VPN &amp; Wireless) for unlimited users + power cable.</t>
    </r>
  </si>
  <si>
    <t>XS850012ZZNCAA</t>
  </si>
  <si>
    <t>1-Year Xstream Protection Subscription for XGS 8500</t>
  </si>
  <si>
    <t>XGS 8500 Xstream Protection - 12 MOS</t>
  </si>
  <si>
    <r>
      <rPr>
        <b/>
        <sz val="11"/>
        <color theme="1"/>
        <rFont val="Arial"/>
        <family val="2"/>
      </rPr>
      <t>1-Year Xstream Protection Subscription for XGS 8500: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</si>
  <si>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ES850012ZZNCAA</t>
  </si>
  <si>
    <t>1-Year Email Protection Subscription for XGS 8500</t>
  </si>
  <si>
    <t>XGS 8500 Email Protection - 12 MOS</t>
  </si>
  <si>
    <r>
      <rPr>
        <b/>
        <sz val="11"/>
        <color theme="1"/>
        <rFont val="Arial"/>
        <family val="2"/>
      </rPr>
      <t>1-Year Email Protection Subscription for XGS 8500:</t>
    </r>
    <r>
      <rPr>
        <sz val="11"/>
        <color theme="1"/>
        <rFont val="Arial"/>
        <family val="2"/>
      </rPr>
      <t xml:space="preserve">
Features: On-box antispam, AV, DLP, Email encryption.</t>
    </r>
  </si>
  <si>
    <t>SS850012ZZNCAA</t>
  </si>
  <si>
    <t>1-Year Webserver Protection Subscription for XGS 8500</t>
  </si>
  <si>
    <t>XGS 8500 Webserver Protection - 12 MOS</t>
  </si>
  <si>
    <r>
      <rPr>
        <b/>
        <sz val="11"/>
        <color theme="1"/>
        <rFont val="Arial"/>
        <family val="2"/>
      </rPr>
      <t xml:space="preserve">1-Year Webserver Protection Subscription for XGS 8500:
</t>
    </r>
    <r>
      <rPr>
        <sz val="11"/>
        <color theme="1"/>
        <rFont val="Arial"/>
        <family val="2"/>
      </rPr>
      <t>Features: Web Application Firewall.</t>
    </r>
  </si>
  <si>
    <t>XG8ETCHCN</t>
  </si>
  <si>
    <t>XGS 8500 Security Appliance - CN power cord</t>
  </si>
  <si>
    <t>XG8ETCHEUK</t>
  </si>
  <si>
    <t>XGS 8500 Security Appliance - EU/UK power cord</t>
  </si>
  <si>
    <t>XG8ETCHUS</t>
  </si>
  <si>
    <t>XGS 8500 Security Appliance - US power cord</t>
  </si>
  <si>
    <t>Site</t>
  </si>
  <si>
    <t>SẢN PHẨM</t>
  </si>
  <si>
    <t>Diễn giải</t>
  </si>
  <si>
    <t>Số lượng</t>
  </si>
  <si>
    <t>Nhập khẩu</t>
  </si>
  <si>
    <t>Đơn giá LP</t>
  </si>
  <si>
    <t>OFF NTS S</t>
  </si>
  <si>
    <t>Đơn giá sau OFF + nhập khẩu</t>
  </si>
  <si>
    <t>Thành tiền sau OFF
USD</t>
  </si>
  <si>
    <t>Thành tiền LP</t>
  </si>
  <si>
    <t>HCM Office</t>
  </si>
  <si>
    <t>XGS 2300 HA</t>
  </si>
  <si>
    <t>VTC1</t>
  </si>
  <si>
    <t>VTC2</t>
  </si>
  <si>
    <t>FAC2</t>
  </si>
  <si>
    <t>Clinic Nguyễn Văn Thủ</t>
  </si>
  <si>
    <r>
      <rPr>
        <b/>
        <sz val="11"/>
        <color theme="1"/>
        <rFont val="Aptos Narrow"/>
        <family val="2"/>
        <scheme val="minor"/>
      </rPr>
      <t>1-Year Standard Protection Subscription for XGS108: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</si>
  <si>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Yakuzen Restaurant</t>
  </si>
  <si>
    <t>HN Office</t>
  </si>
  <si>
    <t>DN Office</t>
  </si>
  <si>
    <t>XGS 2100 HA</t>
  </si>
  <si>
    <t>XSAZTCHF4</t>
  </si>
  <si>
    <t>Firewall</t>
  </si>
  <si>
    <t>XGS_2300</t>
  </si>
  <si>
    <t>4 port 10 GE SFP+ Flexi Port module (for all XGS Rackmount models)</t>
  </si>
  <si>
    <t>Bill of Materials</t>
  </si>
  <si>
    <t>SKU/ Product/ Description.*</t>
  </si>
  <si>
    <t>Qty*</t>
  </si>
  <si>
    <t>Đơn Giá bao gồm NK (USD)</t>
  </si>
  <si>
    <t>Flexi Port modules : 4 port 10GE SFP+ fiber</t>
  </si>
  <si>
    <t>10GbE Fiber Transceiver Short Range (10 Base-SR)</t>
  </si>
  <si>
    <t>BOM SOPHOS VIRTUAL FIREWALL SOFTWARE</t>
  </si>
  <si>
    <t>Sophos Virtual/Software Firewall 1-CORE</t>
  </si>
  <si>
    <t>XV1C4Z00ZZPCAA</t>
  </si>
  <si>
    <t>SF SW/Virtual UP TO 1 CORE</t>
  </si>
  <si>
    <t>SF SW/Virtual Appliance Base License only - UP TO 1 CORE &amp; UNL RAM</t>
  </si>
  <si>
    <r>
      <rPr>
        <b/>
        <sz val="11"/>
        <color theme="1"/>
        <rFont val="Aptos Narrow"/>
        <family val="2"/>
        <scheme val="minor"/>
      </rPr>
      <t>SF SW/Virtual UP TO 1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</si>
  <si>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XS1C4Z12ZZNCAA</t>
  </si>
  <si>
    <t>1-Year Xstream Protection Subscription for SFv1C4</t>
  </si>
  <si>
    <t>SF SW/Virtual Xstream Protection - UP TO 1 CORE &amp; UNL RAM - 12 MOS</t>
  </si>
  <si>
    <r>
      <rPr>
        <b/>
        <sz val="11"/>
        <color theme="1"/>
        <rFont val="Aptos Narrow"/>
        <family val="2"/>
        <scheme val="minor"/>
      </rPr>
      <t>1-Year Xstream Protection Subscription for SFv1C4: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</si>
  <si>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ES1C4Z12ZZNCAA</t>
  </si>
  <si>
    <t>1-Year Email Protection Subscription for SFv1C4</t>
  </si>
  <si>
    <t>SF SW/Virtual Email Protection - UP TO 1 CORE &amp; UNL RAM - 12 MOS</t>
  </si>
  <si>
    <r>
      <rPr>
        <b/>
        <sz val="11"/>
        <color theme="1"/>
        <rFont val="Aptos Narrow"/>
        <family val="2"/>
        <scheme val="minor"/>
      </rPr>
      <t>1-Year Email Protection Subscription for SFv1C4: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</si>
  <si>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SS1C4Z12ZZNCAA</t>
  </si>
  <si>
    <t>1-Year Webserver Protection Subscription for SFv1C4</t>
  </si>
  <si>
    <t>SF SW/Virtual Webserver Protection - UP TO 1 CORE &amp; UNL RAM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</si>
  <si>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SFv1C4: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</si>
  <si>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2 CORES</t>
  </si>
  <si>
    <t>XV2C4Z00ZZPCAA</t>
  </si>
  <si>
    <t>SF SW/Virtual UP TO 2 CORE</t>
  </si>
  <si>
    <t>SF SW/Virtual Appliance Base License only - UP TO 2 CORES &amp; UNL RAM</t>
  </si>
  <si>
    <r>
      <rPr>
        <b/>
        <sz val="11"/>
        <color theme="1"/>
        <rFont val="Aptos Narrow"/>
        <family val="2"/>
        <scheme val="minor"/>
      </rPr>
      <t>SF SW/Virtual UP TO 2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</si>
  <si>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XS2C4Z12ZZNCAA</t>
  </si>
  <si>
    <t>1-Year Xstream Protection Subscription for SFv2C4</t>
  </si>
  <si>
    <t>SF SW/Virtual Xstream Protection - UP TO 2 CORES &amp; UNL RAM - 12 MOS</t>
  </si>
  <si>
    <r>
      <rPr>
        <b/>
        <sz val="11"/>
        <color theme="1"/>
        <rFont val="Aptos Narrow"/>
        <family val="2"/>
        <scheme val="minor"/>
      </rPr>
      <t>1-Year Xstream Protection Subscription for SFv2C4: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</si>
  <si>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ES2C4Z12ZZNCAA</t>
  </si>
  <si>
    <t>1-Year Email Protection Subscription for SFv2C4</t>
  </si>
  <si>
    <t>SF SW/Virtual Email Protection - UP TO 2 CORES &amp; UNL RAM - 12 MOS</t>
  </si>
  <si>
    <r>
      <rPr>
        <b/>
        <sz val="11"/>
        <color theme="1"/>
        <rFont val="Aptos Narrow"/>
        <family val="2"/>
        <scheme val="minor"/>
      </rPr>
      <t>1-Year Email Protection Subscription for SFv2C4: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</si>
  <si>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SS2C4Z12ZZNCAA</t>
  </si>
  <si>
    <t>1-Year Webserver Protection Subscription for SFv2C4</t>
  </si>
  <si>
    <t>SF SW/Virtual Webserver Protection - UP TO 2 CORES &amp; UNL RAM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</si>
  <si>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SFv2C4: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</si>
  <si>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4 CORES</t>
  </si>
  <si>
    <t>XV4C6Z00ZZPCAA</t>
  </si>
  <si>
    <t>SF SW/Virtual UP TO 4 CORE</t>
  </si>
  <si>
    <t>SF SW/Virtual Appliance Base License only - UP TO 4 CORES &amp; UNL RAM</t>
  </si>
  <si>
    <r>
      <rPr>
        <b/>
        <sz val="11"/>
        <color theme="1"/>
        <rFont val="Aptos Narrow"/>
        <family val="2"/>
        <scheme val="minor"/>
      </rPr>
      <t>SF SW/Virtual UP TO 4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</si>
  <si>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XS4C6Z12ZZNCAA</t>
  </si>
  <si>
    <t>1-Year Xstream Protection Subscription for SFv4C6</t>
  </si>
  <si>
    <t>SF SW/Virtual Xstream Protection - UP TO 4 CORES &amp; UNL RAM - 12 MOS</t>
  </si>
  <si>
    <r>
      <rPr>
        <b/>
        <sz val="11"/>
        <color theme="1"/>
        <rFont val="Aptos Narrow"/>
        <family val="2"/>
        <scheme val="minor"/>
      </rPr>
      <t>1-Year Xstream Protection Subscription for SFv4C6: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</si>
  <si>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ES4C6Z12ZZNCAA</t>
  </si>
  <si>
    <t>1-Year Email Protection Subscription for SFv4C6</t>
  </si>
  <si>
    <t>SF SW/Virtual Email Protection - UP TO 4 CORES &amp; UNL RAM - 12 MOS</t>
  </si>
  <si>
    <r>
      <rPr>
        <b/>
        <sz val="11"/>
        <color theme="1"/>
        <rFont val="Aptos Narrow"/>
        <family val="2"/>
        <scheme val="minor"/>
      </rPr>
      <t>1-Year Email Protection Subscription for SFv4C6: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</si>
  <si>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SS4C6Z12ZZNCAA</t>
  </si>
  <si>
    <t>1-Year Webserver Protection Subscription for SFv4C6</t>
  </si>
  <si>
    <t>SF SW/Virtual Webserver Protection - UP TO 4 CORES &amp; UNL RAM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</si>
  <si>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SFv4C6: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</si>
  <si>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6 CORES</t>
  </si>
  <si>
    <t>XV6C8Z00ZZPCAA</t>
  </si>
  <si>
    <t>SF SW/Virtual UP TO 6 CORE</t>
  </si>
  <si>
    <t>SF SW/Virtual Appliance Base License only - UP TO 6 CORES &amp; UNL RAM</t>
  </si>
  <si>
    <r>
      <rPr>
        <b/>
        <sz val="11"/>
        <color theme="1"/>
        <rFont val="Aptos Narrow"/>
        <family val="2"/>
        <scheme val="minor"/>
      </rPr>
      <t>SF SW/Virtual UP TO 6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</si>
  <si>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XS6C8Z12ZZNCAA</t>
  </si>
  <si>
    <t>1-Year Xstream Protection Subscription for SFv6C8</t>
  </si>
  <si>
    <t>SF SW/Virtual Xstream Protection - UP TO 6 CORES &amp; UNL RAM - 12 MOS</t>
  </si>
  <si>
    <r>
      <rPr>
        <b/>
        <sz val="11"/>
        <color theme="1"/>
        <rFont val="Aptos Narrow"/>
        <family val="2"/>
        <scheme val="minor"/>
      </rPr>
      <t>1-Year Xstream Protection Subscription for SFv6C8: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</si>
  <si>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ES6C8Z12ZZNCAA</t>
  </si>
  <si>
    <t>1-Year Email Protection Subscription for SFv6C8</t>
  </si>
  <si>
    <t>SF SW/Virtual Email Protection - UP TO 6 CORES &amp; UNL RAM - 12 MOS</t>
  </si>
  <si>
    <r>
      <rPr>
        <b/>
        <sz val="11"/>
        <color theme="1"/>
        <rFont val="Aptos Narrow"/>
        <family val="2"/>
        <scheme val="minor"/>
      </rPr>
      <t>1-Year Email Protection Subscription for SFv6C8: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</si>
  <si>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SS6C8Z12ZZNCAA</t>
  </si>
  <si>
    <t>1-Year Webserver Protection Subscription for SFv6C8</t>
  </si>
  <si>
    <t>SF SW/Virtual Webserver Protection - UP TO 6 CORES &amp; UNL RAM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</si>
  <si>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SFv6C8: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</si>
  <si>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8 CORES</t>
  </si>
  <si>
    <t>XV8C1600ZZPCAA</t>
  </si>
  <si>
    <t>SF SW/Virtual UP TO 8 CORE</t>
  </si>
  <si>
    <t>SF SW/Virtual Appliance Base License only - UP TO 8 CORES &amp; UNL RAM</t>
  </si>
  <si>
    <r>
      <rPr>
        <b/>
        <sz val="11"/>
        <color theme="1"/>
        <rFont val="Aptos Narrow"/>
        <family val="2"/>
        <scheme val="minor"/>
      </rPr>
      <t>SF SW/Virtual UP TO 8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</si>
  <si>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XS8C1612ZZNCAA</t>
  </si>
  <si>
    <t>1-Year Xstream Protection Subscription for SFv8C16</t>
  </si>
  <si>
    <t>SF SW/Virtual Xstream Protection - UP TO 8 CORES &amp; UNL RAM - 12 MOS</t>
  </si>
  <si>
    <r>
      <rPr>
        <b/>
        <sz val="11"/>
        <color theme="1"/>
        <rFont val="Aptos Narrow"/>
        <family val="2"/>
        <scheme val="minor"/>
      </rPr>
      <t>1-Year Xstream Protection Subscription for SFv8C16: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</si>
  <si>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ES8C1612ZZNCAA</t>
  </si>
  <si>
    <t>1-Year Email Protection Subscription for SFv8C16</t>
  </si>
  <si>
    <t>SF SW/Virtual Email Protection - UP TO 8 CORES &amp; UNL RAM - 12 MOS</t>
  </si>
  <si>
    <r>
      <rPr>
        <b/>
        <sz val="11"/>
        <color theme="1"/>
        <rFont val="Aptos Narrow"/>
        <family val="2"/>
        <scheme val="minor"/>
      </rPr>
      <t>1-Year Email Protection Subscription for SFv8C16: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</si>
  <si>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SS8C1612ZZNCAA</t>
  </si>
  <si>
    <t>1-Year Webserver Protection Subscription for SFv8C16</t>
  </si>
  <si>
    <t>SF SW/Virtual Webserver Protection - UP TO 8 CORES &amp; UNL RAM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</si>
  <si>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SFv8C16: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</si>
  <si>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16 CORES</t>
  </si>
  <si>
    <t>XV16C200ZZPCAA</t>
  </si>
  <si>
    <t>SF SW/Virtual UP TO 16 CORE</t>
  </si>
  <si>
    <t>SF SW/Virtual Appliance Base License only - UP TO 16 CORES &amp; UNL RAM</t>
  </si>
  <si>
    <r>
      <rPr>
        <b/>
        <sz val="11"/>
        <color theme="1"/>
        <rFont val="Aptos Narrow"/>
        <family val="2"/>
        <scheme val="minor"/>
      </rPr>
      <t>SF SW/Virtual UP TO 16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</si>
  <si>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XS16C212ZZNCAA</t>
  </si>
  <si>
    <t>1-Year Xstream Protection Subscription for SFv16C24</t>
  </si>
  <si>
    <t>SF SW/Virtual Xstream Protection - UP TO 16 CORES &amp; UNL RAM - 12 MOS</t>
  </si>
  <si>
    <r>
      <rPr>
        <b/>
        <sz val="11"/>
        <color theme="1"/>
        <rFont val="Aptos Narrow"/>
        <family val="2"/>
        <scheme val="minor"/>
      </rPr>
      <t>1-Year Xstream Protection Subscription for SFv16C24: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</si>
  <si>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ES16C212ZZNCAA</t>
  </si>
  <si>
    <t>1-Year Email Protection Subscription for SFv16C24</t>
  </si>
  <si>
    <t>SF SW/Virtual Email Protection - UP TO 16 CORES &amp; UNL RAM - 12 MOS</t>
  </si>
  <si>
    <r>
      <rPr>
        <b/>
        <sz val="11"/>
        <color theme="1"/>
        <rFont val="Aptos Narrow"/>
        <family val="2"/>
        <scheme val="minor"/>
      </rPr>
      <t>1-Year Email Protection Subscription for SFv16C24: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</si>
  <si>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SS16C212ZZNCAA</t>
  </si>
  <si>
    <t>1-Year Webserver Protection Subscription for SFv16C24</t>
  </si>
  <si>
    <t>SF SW/Virtual Webserver Protection - UP TO 16 CORES &amp; UNL RAM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</si>
  <si>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SFv16C24: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</si>
  <si>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Unlimited CORES</t>
  </si>
  <si>
    <t>XVUNLD00ZZPCAA</t>
  </si>
  <si>
    <t>SF SW/Virtual Firewall Unlimited CORE</t>
  </si>
  <si>
    <t>SF SW/Virtual Appliance Base License only - UNL CORES &amp; UNL RAM</t>
  </si>
  <si>
    <r>
      <rPr>
        <b/>
        <sz val="11"/>
        <color theme="1"/>
        <rFont val="Aptos Narrow"/>
        <family val="2"/>
        <scheme val="minor"/>
      </rPr>
      <t>SF SW/Virtual Firewall Unlimited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</si>
  <si>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XSUNLD12ZZNCAA</t>
  </si>
  <si>
    <t>1-Year Xstream Protection Subscription for SFv-Unlimited</t>
  </si>
  <si>
    <t>SF SW/Virtual Xstream Protection - UNL CORES &amp; UNL RAM - 12 MOS</t>
  </si>
  <si>
    <r>
      <rPr>
        <b/>
        <sz val="11"/>
        <color theme="1"/>
        <rFont val="Aptos Narrow"/>
        <family val="2"/>
        <scheme val="minor"/>
      </rPr>
      <t>1-Year Xstream Protection Subscription for SFv-Unlimited: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</si>
  <si>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ESUNLD12ZZNCAA</t>
  </si>
  <si>
    <t>1-Year Email Protection Subscription for SFv-Unlimited</t>
  </si>
  <si>
    <t>SF SW/Virtual Email Protection - UNL CORES &amp; UNL RAM - 12 MOS</t>
  </si>
  <si>
    <r>
      <rPr>
        <b/>
        <sz val="11"/>
        <color theme="1"/>
        <rFont val="Aptos Narrow"/>
        <family val="2"/>
        <scheme val="minor"/>
      </rPr>
      <t>1-Year Email Protection Subscription for SFv-Unlimited: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</si>
  <si>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t>SSUNLD12ZZNCAA</t>
  </si>
  <si>
    <t>1-Year Webserver Protection Subscription for SFv-Unlimited</t>
  </si>
  <si>
    <t>SF SW/Virtual Webserver Protection - UNL CORES &amp; UNL RAM - 12 MOS</t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</si>
  <si>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SFv-Unlimited:
</t>
    </r>
    <r>
      <rPr>
        <sz val="11"/>
        <color theme="1"/>
        <rFont val="Aptos Narrow"/>
        <family val="2"/>
        <scheme val="minor"/>
      </rPr>
      <t>Features: Web Application Firewall.</t>
    </r>
  </si>
  <si>
    <t>CÁC GÓI ADD-ON với SOPHOS FIREWALL</t>
  </si>
  <si>
    <r>
      <t xml:space="preserve">Sophos Central Zero Trust Network Access (ZTNA):
</t>
    </r>
    <r>
      <rPr>
        <i/>
        <sz val="11"/>
        <color rgb="FFFF0000"/>
        <rFont val="Aptos Narrow"/>
        <family val="2"/>
        <scheme val="minor"/>
      </rPr>
      <t xml:space="preserve"> - License per User.
 - Đơn giá theo Range.</t>
    </r>
  </si>
  <si>
    <t>CWP00U12AANCAA</t>
  </si>
  <si>
    <t>1-Year Central Zero Trust Network Access</t>
  </si>
  <si>
    <t>Workspace Protection - 1-9 users - 12 MOS</t>
  </si>
  <si>
    <r>
      <rPr>
        <b/>
        <sz val="11"/>
        <color theme="1"/>
        <rFont val="Aptos Narrow"/>
        <family val="2"/>
        <scheme val="minor"/>
      </rPr>
      <t>1-Year Central Zero Trust Network Access: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</si>
  <si>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t>CWP00U12ABNCAA</t>
  </si>
  <si>
    <t>Workspace Protection - 10-24 users - 12 MOS</t>
  </si>
  <si>
    <t>CWP00U12ACNCAA</t>
  </si>
  <si>
    <t>Workspace Protection - 25-49 users - 12 MOS</t>
  </si>
  <si>
    <t>CWP00U12ADNCAA</t>
  </si>
  <si>
    <t>Workspace Protection - 50-99 users - 12 MOS</t>
  </si>
  <si>
    <t>CWP00U12AENCAA</t>
  </si>
  <si>
    <t>Workspace Protection - 100-199 users - 12 MOS</t>
  </si>
  <si>
    <t>CWP00U12AFNCAA</t>
  </si>
  <si>
    <t>Workspace Protection - 200-499 users - 12 MOS</t>
  </si>
  <si>
    <r>
      <t xml:space="preserve">Sophos Central Firewall Reporting Advanced (CFR):
</t>
    </r>
    <r>
      <rPr>
        <i/>
        <sz val="11"/>
        <color rgb="FFFF0000"/>
        <rFont val="Aptos Narrow"/>
        <family val="2"/>
        <scheme val="minor"/>
      </rPr>
      <t xml:space="preserve"> - Quản lý tập trung và lưu log và report tập trung tất cả Firewall Sopphos trên Cloud.
 - License tính theo BLOCK (mỗi BLOCK = 100GB).
 - Số lượng BLOCK mua tối thiểu &gt;= số lượng FW cần quản lý.</t>
    </r>
  </si>
  <si>
    <t>CFRAAB12BANCAA</t>
  </si>
  <si>
    <t>1-Year Central Firewall Reporting Advanced</t>
  </si>
  <si>
    <t>Central Firewall Reporting Advanced - 1-9 100gb blocks - 12 MOS</t>
  </si>
  <si>
    <r>
      <rPr>
        <b/>
        <sz val="11"/>
        <color theme="1"/>
        <rFont val="Aptos Narrow"/>
        <family val="2"/>
        <scheme val="minor"/>
      </rPr>
      <t>1-Year Central Firewall Reporting Advanced: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</si>
  <si>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t>CFRAAB12BBNCAA</t>
  </si>
  <si>
    <t>Central Firewall Reporting Advanced - 10-24 100gb blocks - 12 MOS</t>
  </si>
  <si>
    <t>CFRAAB12BCNCAA</t>
  </si>
  <si>
    <t>Central Firewall Reporting Advanced - 25-49 100gb blocks - 12 MOS</t>
  </si>
  <si>
    <t>CFRAAB12BDNCAA</t>
  </si>
  <si>
    <t>Central Firewall Reporting Advanced - 50-99 100gb blocks - 12 MOS</t>
  </si>
  <si>
    <t>CFRAAB12BGNCAA</t>
  </si>
  <si>
    <t>Central Firewall Reporting Advanced - 100-999 100gb blocks - 12 MOS</t>
  </si>
  <si>
    <t>CFRAAB12BHNCAA</t>
  </si>
  <si>
    <t>Central Firewall Reporting Advanced - 1000-1999 100gb blocks - 12 MOS</t>
  </si>
  <si>
    <r>
      <t xml:space="preserve">Sophos Network Detection &amp; Response (NDR):
</t>
    </r>
    <r>
      <rPr>
        <i/>
        <sz val="11"/>
        <color rgb="FFFF0000"/>
        <rFont val="Aptos Narrow"/>
        <family val="2"/>
        <scheme val="minor"/>
      </rPr>
      <t xml:space="preserve"> - Hệ thống Phân tích bất thường mạng &amp; Phát hiện mã độc mạng.
 - License tính theo USER + SERVER.
</t>
    </r>
    <r>
      <rPr>
        <b/>
        <i/>
        <u/>
        <sz val="11"/>
        <color rgb="FFFF0000"/>
        <rFont val="Aptos Narrow"/>
        <family val="2"/>
        <scheme val="minor"/>
      </rPr>
      <t xml:space="preserve"> - Note: Tích hợp với MDR / XDR &amp; Sophos Firewall</t>
    </r>
  </si>
  <si>
    <t>MDRNDU12AANCAA</t>
  </si>
  <si>
    <t>1-Year Network Detection and Response</t>
  </si>
  <si>
    <t>Central Network Detection and Response - 1-9 users and servers - 12 MOS</t>
  </si>
  <si>
    <r>
      <rPr>
        <b/>
        <sz val="11"/>
        <color theme="1"/>
        <rFont val="Aptos Narrow"/>
        <family val="2"/>
        <scheme val="minor"/>
      </rPr>
      <t>1-Year Network Detection and Response: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</si>
  <si>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t>MDRNDU12ABNCAA</t>
  </si>
  <si>
    <t>Central Network Detection and Response - 10-24 users and servers - 12 MOS</t>
  </si>
  <si>
    <t>MDRNDU12ACNCAA</t>
  </si>
  <si>
    <t>Central Network Detection and Response - 25-49 users and servers - 12 MOS</t>
  </si>
  <si>
    <t>MDRNDU12ADNCAA</t>
  </si>
  <si>
    <t>Central Network Detection and Response - 50-99 users and servers - 12 MOS</t>
  </si>
  <si>
    <t>MDRNDU12AENCAA</t>
  </si>
  <si>
    <t>Central Network Detection and Response - 100-199 users and servers - 12 MOS</t>
  </si>
  <si>
    <t>MDRNDU12AFNCAA</t>
  </si>
  <si>
    <t>Central Network Detection and Response - 200-499 users and servers - 12 MOS</t>
  </si>
  <si>
    <t>MDRNDU12AGNCAA</t>
  </si>
  <si>
    <t>Central Network Detection and Response - 500-999 users and servers - 12 MOS</t>
  </si>
  <si>
    <t>MSRP</t>
  </si>
  <si>
    <t>Suggested Reseller Disc</t>
  </si>
  <si>
    <t>Promo Disc</t>
  </si>
  <si>
    <t>Special Disc</t>
  </si>
  <si>
    <t>Buy Cost</t>
  </si>
  <si>
    <t>STANDARD HARDWARE BUNDLE</t>
  </si>
  <si>
    <t/>
  </si>
  <si>
    <t>XSTREAM HARDWARE BUNDLE</t>
  </si>
  <si>
    <t>HW APPLIANCE</t>
  </si>
  <si>
    <t>12 MOS</t>
  </si>
  <si>
    <t>XSTREAM PROTECTION</t>
  </si>
  <si>
    <t>XS230012ZZRCAA</t>
  </si>
  <si>
    <t>STANDARD PROTECTION</t>
  </si>
  <si>
    <t>SP230012ZZRCAA</t>
  </si>
  <si>
    <t>ENHANCED SUPPORT</t>
  </si>
  <si>
    <t>SE230012ZZRCAA</t>
  </si>
  <si>
    <t>ENHANCED TO ENHANCED PLUS UPGRADE</t>
  </si>
  <si>
    <t>UP230012ZZRCAA</t>
  </si>
  <si>
    <t>NETWORK PROTECTION</t>
  </si>
  <si>
    <t>NS230012ZZRCAA</t>
  </si>
  <si>
    <t>WEB PROTECTION</t>
  </si>
  <si>
    <t>WS230012ZZRCAA</t>
  </si>
  <si>
    <t>ZERO-DAY PROTECTION</t>
  </si>
  <si>
    <t>ZD230012ZZRCAA</t>
  </si>
  <si>
    <t>CENTRAL ORCHESTATION</t>
  </si>
  <si>
    <t>CO230012ZZRCAA</t>
  </si>
  <si>
    <t>EMAIL PROTECTION</t>
  </si>
  <si>
    <t>ES230012ZZRCAA</t>
  </si>
  <si>
    <t>WEBSERVER PROTECTION</t>
  </si>
  <si>
    <t>SS230012ZZRCAA</t>
  </si>
  <si>
    <t>XGS 2300 HW Appliance with 8 GE + 2 SFP ports, 1 expansion bay for optional Flexi Port module, SSD + Base License (incl. FW, VPN &amp; Wireless) for unlimited users + power cable.</t>
  </si>
  <si>
    <t>XS430012ZZRCAA</t>
  </si>
  <si>
    <t>SP430012ZZRCAA</t>
  </si>
  <si>
    <t>SE430012ZZRCAA</t>
  </si>
  <si>
    <t>UP430012ZZRCAA</t>
  </si>
  <si>
    <t>NS430012ZZRCAA</t>
  </si>
  <si>
    <t>WS430012ZZRCAA</t>
  </si>
  <si>
    <t>ZD430012ZZRCAA</t>
  </si>
  <si>
    <t>CO430012ZZRCAA</t>
  </si>
  <si>
    <t>ES430012ZZRCAA</t>
  </si>
  <si>
    <t>SS430012ZZRCAA</t>
  </si>
  <si>
    <t>XGS 4300 HW Appliance with 4 GE + 4x 2.5GE + 4 SFP+ ports, 2 expansion bays for optional Flexi Port modules, SSD + Base License (incl. FW, VPN &amp; Wireless) for unlimited users + power cable.</t>
  </si>
  <si>
    <t>*LICENSING NOTES</t>
  </si>
  <si>
    <t xml:space="preserve">Standard Protection Subscription Includes: Network Protection, Web Protection and Enhanced Support                                                                                     </t>
  </si>
  <si>
    <t>Xstream Protection Subscription Includes: Network Protection, Web Protection, Zero-Day Protection, Central Orchestration, DNS Protection and Enhanced Support</t>
  </si>
  <si>
    <t>Central Orchestration functionality requires SFOS v18.5 MR1</t>
  </si>
  <si>
    <t>Zero-Day Protection is the new name for Sandstorm Protection (name change visible after upgrade to SFOS v18.5 MR1)</t>
  </si>
  <si>
    <t xml:space="preserve">No specific license is required for building a HA/Standby setup. However, an Enhanced Plus Support contract is required for the master unit in order to receive advanced replacement and/or extended warranty for the slave (passive) unit. </t>
  </si>
  <si>
    <t>***Security Heartbeat functionality is available when Sophos Firewall Network Protection, or any subscription containing Network Protection, is used in conjunction with Sophos Intercept X licences. Available functionality may vary by subscriptions owned.</t>
  </si>
  <si>
    <t xml:space="preserve">See the Sophos Firewall Licensing Guide for further details https://support.sophos.com/support/s/article/KB-000038005?language=en_US      </t>
  </si>
  <si>
    <t>XS450012ZZRCAA</t>
  </si>
  <si>
    <t>SP450012ZZRCAA</t>
  </si>
  <si>
    <t>SE450012ZZRCAA</t>
  </si>
  <si>
    <t>UP450012ZZRCAA</t>
  </si>
  <si>
    <t>NS450012ZZRCAA</t>
  </si>
  <si>
    <t>WS450012ZZRCAA</t>
  </si>
  <si>
    <t>ZD450012ZZRCAA</t>
  </si>
  <si>
    <t>CO450012ZZRCAA</t>
  </si>
  <si>
    <t>ES450012ZZRCAA</t>
  </si>
  <si>
    <t>SS450012ZZRCAA</t>
  </si>
  <si>
    <t>XGS 4500 HW Appliance with 4 GE + 4x 2.5GE + 4 SFP+ ports, 2 expansion bays for optional Flexi Port modules, 2 x SSD + Base License (incl. FW, VPN &amp; Wireless) for unlimited users + power cable.</t>
  </si>
  <si>
    <t>Estimated Value (in USD)</t>
  </si>
  <si>
    <t>XGS 2300 HW Appliance</t>
  </si>
  <si>
    <t xml:space="preserve">1Y Standard Protection subscription XGS 2300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</si>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</sst>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003399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b/>
      <sz val="12"/>
      <name val="Times New Roman"/>
      <family val="1"/>
    </font>
    <font>
      <b/>
      <sz val="36"/>
      <color rgb="FFFF0000"/>
      <name val="Aptos Narrow"/>
      <family val="2"/>
      <scheme val="minor"/>
    </font>
    <font>
      <sz val="10"/>
      <name val="Arial"/>
      <family val="2"/>
    </font>
    <font>
      <b/>
      <sz val="18"/>
      <color rgb="FF003399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1"/>
      <color rgb="FF000000"/>
      <name val="Calibri"/>
      <family val="2"/>
    </font>
    <font>
      <sz val="11"/>
      <color rgb="FF2E74B5"/>
      <name val="Calibri"/>
      <family val="2"/>
    </font>
    <font>
      <sz val="10"/>
      <color theme="1"/>
      <name val="Arial"/>
      <family val="2"/>
    </font>
    <font>
      <b/>
      <sz val="16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i/>
      <sz val="11"/>
      <color rgb="FFFF0000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4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3" fontId="1" fillId="0" borderId="0" xfId="0" applyNumberFormat="1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/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3" fontId="1" fillId="0" borderId="2" xfId="0" applyNumberFormat="1" applyFont="1" applyBorder="1"/>
    <xf numFmtId="0" fontId="1" fillId="2" borderId="2" xfId="0" applyFont="1" applyFill="1" applyBorder="1"/>
    <xf numFmtId="165" fontId="1" fillId="2" borderId="0" xfId="0" applyNumberFormat="1" applyFont="1" applyFill="1"/>
    <xf numFmtId="9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43" fontId="1" fillId="0" borderId="0" xfId="0" applyNumberFormat="1" applyFont="1"/>
    <xf numFmtId="0" fontId="1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43" fontId="8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43" fontId="1" fillId="4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43" fontId="3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5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43" fontId="1" fillId="5" borderId="2" xfId="0" applyNumberFormat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43" fontId="1" fillId="6" borderId="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43" fontId="3" fillId="8" borderId="2" xfId="0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1" fillId="9" borderId="2" xfId="0" applyFont="1" applyFill="1" applyBorder="1" applyAlignment="1">
      <alignment vertical="center"/>
    </xf>
    <xf numFmtId="43" fontId="1" fillId="9" borderId="2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7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4" fontId="12" fillId="0" borderId="0" xfId="0" applyNumberFormat="1" applyFont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3" fillId="10" borderId="2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43" fontId="1" fillId="10" borderId="2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9" fontId="3" fillId="0" borderId="2" xfId="0" applyNumberFormat="1" applyFont="1" applyBorder="1" applyAlignment="1">
      <alignment vertical="center"/>
    </xf>
    <xf numFmtId="43" fontId="1" fillId="0" borderId="2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165" fontId="3" fillId="0" borderId="2" xfId="0" applyNumberFormat="1" applyFont="1" applyBorder="1" applyAlignment="1">
      <alignment vertical="center"/>
    </xf>
    <xf numFmtId="0" fontId="17" fillId="11" borderId="12" xfId="0" applyFont="1" applyFill="1" applyBorder="1" applyAlignment="1">
      <alignment vertical="center" wrapText="1"/>
    </xf>
    <xf numFmtId="0" fontId="17" fillId="11" borderId="13" xfId="0" applyFont="1" applyFill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4" fontId="18" fillId="0" borderId="13" xfId="0" applyNumberFormat="1" applyFont="1" applyBorder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0" fontId="3" fillId="12" borderId="2" xfId="0" applyFont="1" applyFill="1" applyBorder="1" applyAlignment="1">
      <alignment vertical="center"/>
    </xf>
    <xf numFmtId="0" fontId="1" fillId="12" borderId="2" xfId="0" applyFont="1" applyFill="1" applyBorder="1" applyAlignment="1">
      <alignment vertical="center"/>
    </xf>
    <xf numFmtId="43" fontId="1" fillId="12" borderId="2" xfId="0" applyNumberFormat="1" applyFont="1" applyFill="1" applyBorder="1" applyAlignment="1">
      <alignment vertical="center"/>
    </xf>
    <xf numFmtId="0" fontId="9" fillId="12" borderId="6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vertical="center" wrapText="1"/>
    </xf>
    <xf numFmtId="43" fontId="1" fillId="12" borderId="2" xfId="0" applyNumberFormat="1" applyFont="1" applyFill="1" applyBorder="1" applyAlignment="1">
      <alignment vertical="center" wrapText="1"/>
    </xf>
    <xf numFmtId="0" fontId="9" fillId="12" borderId="6" xfId="0" applyFont="1" applyFill="1" applyBorder="1" applyAlignment="1">
      <alignment vertical="center" wrapText="1"/>
    </xf>
    <xf numFmtId="0" fontId="20" fillId="2" borderId="0" xfId="0" applyFont="1" applyFill="1"/>
    <xf numFmtId="0" fontId="21" fillId="0" borderId="13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43" fontId="24" fillId="0" borderId="13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6" fillId="11" borderId="9" xfId="0" applyFont="1" applyFill="1" applyBorder="1" applyAlignment="1">
      <alignment vertical="center" wrapText="1"/>
    </xf>
    <xf numFmtId="0" fontId="16" fillId="11" borderId="10" xfId="0" applyFont="1" applyFill="1" applyBorder="1" applyAlignment="1">
      <alignment vertical="center" wrapText="1"/>
    </xf>
    <xf numFmtId="0" fontId="16" fillId="11" borderId="11" xfId="0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zoomScaleNormal="100" workbookViewId="0">
      <pane xSplit="1" ySplit="2" topLeftCell="P3" activePane="bottomRight" state="frozen"/>
      <selection pane="topRight"/>
      <selection pane="bottomLeft"/>
      <selection pane="bottomRight" activeCell="V24" sqref="V24"/>
    </sheetView>
  </sheetViews>
  <sheetFormatPr defaultRowHeight="15" x14ac:dyDescent="0.25"/>
  <cols>
    <col min="2" max="7" width="16.28515625" customWidth="1"/>
    <col min="8" max="9" width="14.5703125" customWidth="1"/>
    <col min="10" max="10" width="13.7109375" customWidth="1"/>
    <col min="11" max="11" width="13.28515625" customWidth="1"/>
    <col min="12" max="12" width="15.5703125" customWidth="1"/>
    <col min="13" max="13" width="13.7109375" customWidth="1"/>
    <col min="14" max="14" width="12.7109375" hidden="1" customWidth="1"/>
    <col min="15" max="15" width="12.140625" style="1" customWidth="1"/>
    <col min="16" max="16" width="12.42578125" style="1" customWidth="1"/>
    <col min="17" max="17" width="13.7109375" customWidth="1"/>
    <col min="18" max="18" width="12.42578125" customWidth="1"/>
    <col min="20" max="20" width="17.42578125" customWidth="1"/>
    <col min="22" max="22" width="21.140625" customWidth="1"/>
    <col min="23" max="23" width="16" customWidth="1"/>
    <col min="24" max="24" width="13.140625" customWidth="1"/>
    <col min="25" max="25" width="13.85546875" customWidth="1"/>
  </cols>
  <sheetData>
    <row r="1" spans="1:27" ht="21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7" ht="75" customHeight="1" x14ac:dyDescent="0.25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6" t="s">
        <v>14</v>
      </c>
      <c r="O2" s="7" t="s">
        <v>15</v>
      </c>
      <c r="P2" s="8" t="s">
        <v>16</v>
      </c>
      <c r="Q2" s="8" t="s">
        <v>17</v>
      </c>
      <c r="R2" s="8" t="s">
        <v>18</v>
      </c>
      <c r="S2" s="9"/>
      <c r="T2" s="10" t="s">
        <v>2</v>
      </c>
      <c r="U2" s="11" t="s">
        <v>8</v>
      </c>
      <c r="V2" s="11" t="s">
        <v>9</v>
      </c>
      <c r="W2" s="11" t="s">
        <v>10</v>
      </c>
      <c r="X2" s="11" t="s">
        <v>11</v>
      </c>
      <c r="Y2" s="11" t="s">
        <v>12</v>
      </c>
      <c r="Z2" s="11" t="s">
        <v>13</v>
      </c>
      <c r="AA2" s="9"/>
    </row>
    <row r="3" spans="1:27" s="12" customFormat="1" ht="44.1" customHeight="1" x14ac:dyDescent="0.25">
      <c r="A3" s="13" t="s">
        <v>19</v>
      </c>
      <c r="B3" s="14">
        <f t="shared" ref="B3:B17" si="0">T3*H$19</f>
        <v>14603400</v>
      </c>
      <c r="C3" s="15"/>
      <c r="D3" s="15"/>
      <c r="E3" s="14"/>
      <c r="F3" s="14"/>
      <c r="G3" s="14"/>
      <c r="H3" s="14">
        <f t="shared" ref="H3:H17" si="1">U3*H$19</f>
        <v>8099700</v>
      </c>
      <c r="I3" s="14">
        <f t="shared" ref="I3:I17" si="2">V3*H$19</f>
        <v>24299100</v>
      </c>
      <c r="J3" s="14">
        <f t="shared" ref="J3:J17" si="3">W3*H$19</f>
        <v>40506480</v>
      </c>
      <c r="K3" s="14">
        <f t="shared" ref="K3:K17" si="4">X3*H$19</f>
        <v>10520300</v>
      </c>
      <c r="L3" s="14">
        <f t="shared" ref="L3:L17" si="5">Y3*H$19</f>
        <v>31560900</v>
      </c>
      <c r="M3" s="14">
        <f t="shared" ref="M3:M17" si="6">Z3*H$19</f>
        <v>52604160</v>
      </c>
      <c r="N3" s="14"/>
      <c r="O3" s="14">
        <f t="shared" ref="O3:O17" si="7">R3*H$19</f>
        <v>3192000</v>
      </c>
      <c r="P3" s="14">
        <f>B3+O3</f>
        <v>17795400</v>
      </c>
      <c r="Q3" s="14">
        <f>O3+H3+B3</f>
        <v>25895100</v>
      </c>
      <c r="R3" s="14">
        <v>120</v>
      </c>
      <c r="S3" s="14" t="s">
        <v>20</v>
      </c>
      <c r="T3" s="14">
        <v>549</v>
      </c>
      <c r="U3" s="14">
        <v>304.5</v>
      </c>
      <c r="V3" s="14">
        <v>913.5</v>
      </c>
      <c r="W3" s="14">
        <v>1522.8</v>
      </c>
      <c r="X3" s="14">
        <v>395.5</v>
      </c>
      <c r="Y3" s="14">
        <v>1186.5</v>
      </c>
      <c r="Z3" s="14">
        <v>1977.6</v>
      </c>
      <c r="AA3" s="16"/>
    </row>
    <row r="4" spans="1:27" s="12" customFormat="1" ht="44.1" customHeight="1" x14ac:dyDescent="0.25">
      <c r="A4" s="13" t="s">
        <v>21</v>
      </c>
      <c r="B4" s="14">
        <f t="shared" si="0"/>
        <v>19178600</v>
      </c>
      <c r="C4" s="15"/>
      <c r="D4" s="15"/>
      <c r="E4" s="14"/>
      <c r="F4" s="14"/>
      <c r="G4" s="14"/>
      <c r="H4" s="14">
        <f t="shared" si="1"/>
        <v>8871100</v>
      </c>
      <c r="I4" s="14">
        <f t="shared" si="2"/>
        <v>26613300</v>
      </c>
      <c r="J4" s="14">
        <f t="shared" si="3"/>
        <v>44352840</v>
      </c>
      <c r="K4" s="14">
        <f t="shared" si="4"/>
        <v>11517800</v>
      </c>
      <c r="L4" s="14">
        <f t="shared" si="5"/>
        <v>34553400</v>
      </c>
      <c r="M4" s="14">
        <f t="shared" si="6"/>
        <v>57583680.000000007</v>
      </c>
      <c r="N4" s="14"/>
      <c r="O4" s="14">
        <f t="shared" si="7"/>
        <v>4788000</v>
      </c>
      <c r="P4" s="14">
        <f t="shared" ref="P4:P17" si="8">B4+O4</f>
        <v>23966600</v>
      </c>
      <c r="Q4" s="14">
        <f t="shared" ref="Q4:Q17" si="9">O4+H4+B4</f>
        <v>32837700</v>
      </c>
      <c r="R4" s="14">
        <v>180</v>
      </c>
      <c r="S4" s="14" t="s">
        <v>22</v>
      </c>
      <c r="T4" s="14">
        <v>721</v>
      </c>
      <c r="U4" s="14">
        <v>333.5</v>
      </c>
      <c r="V4" s="14">
        <v>1000.5</v>
      </c>
      <c r="W4" s="14">
        <v>1667.4</v>
      </c>
      <c r="X4" s="14">
        <v>433</v>
      </c>
      <c r="Y4" s="14">
        <v>1299</v>
      </c>
      <c r="Z4" s="14">
        <v>2164.8000000000002</v>
      </c>
      <c r="AA4" s="16"/>
    </row>
    <row r="5" spans="1:27" s="12" customFormat="1" ht="44.1" customHeight="1" x14ac:dyDescent="0.25">
      <c r="A5" s="13" t="s">
        <v>23</v>
      </c>
      <c r="B5" s="14">
        <f t="shared" si="0"/>
        <v>24458700</v>
      </c>
      <c r="C5" s="15"/>
      <c r="D5" s="15"/>
      <c r="E5" s="14"/>
      <c r="F5" s="14"/>
      <c r="G5" s="14"/>
      <c r="H5" s="14">
        <f t="shared" si="1"/>
        <v>11797100</v>
      </c>
      <c r="I5" s="14">
        <f t="shared" si="2"/>
        <v>35391300</v>
      </c>
      <c r="J5" s="14">
        <f t="shared" si="3"/>
        <v>58988160</v>
      </c>
      <c r="K5" s="14">
        <f t="shared" si="4"/>
        <v>15334900</v>
      </c>
      <c r="L5" s="14">
        <f t="shared" si="5"/>
        <v>46004700</v>
      </c>
      <c r="M5" s="14">
        <f t="shared" si="6"/>
        <v>76671840</v>
      </c>
      <c r="N5" s="14"/>
      <c r="O5" s="14">
        <f t="shared" si="7"/>
        <v>4788000</v>
      </c>
      <c r="P5" s="14">
        <f t="shared" si="8"/>
        <v>29246700</v>
      </c>
      <c r="Q5" s="14">
        <f t="shared" si="9"/>
        <v>41043800</v>
      </c>
      <c r="R5" s="14">
        <v>180</v>
      </c>
      <c r="S5" s="14" t="s">
        <v>24</v>
      </c>
      <c r="T5" s="14">
        <v>919.5</v>
      </c>
      <c r="U5" s="14">
        <v>443.5</v>
      </c>
      <c r="V5" s="14">
        <v>1330.5</v>
      </c>
      <c r="W5" s="14">
        <v>2217.6</v>
      </c>
      <c r="X5" s="14">
        <v>576.5</v>
      </c>
      <c r="Y5" s="14">
        <v>1729.5</v>
      </c>
      <c r="Z5" s="14">
        <v>2882.4</v>
      </c>
      <c r="AA5" s="16"/>
    </row>
    <row r="6" spans="1:27" s="12" customFormat="1" ht="44.1" customHeight="1" x14ac:dyDescent="0.25">
      <c r="A6" s="13" t="s">
        <v>25</v>
      </c>
      <c r="B6" s="14">
        <f t="shared" si="0"/>
        <v>33250000</v>
      </c>
      <c r="C6" s="15"/>
      <c r="D6" s="15"/>
      <c r="E6" s="14">
        <f>F6+G6</f>
        <v>11133696</v>
      </c>
      <c r="F6" s="14">
        <f>230.52*$H19</f>
        <v>6131832</v>
      </c>
      <c r="G6" s="14">
        <f>188.04*$H19</f>
        <v>5001864</v>
      </c>
      <c r="H6" s="14">
        <f t="shared" si="1"/>
        <v>15694000</v>
      </c>
      <c r="I6" s="14">
        <f t="shared" si="2"/>
        <v>47082000</v>
      </c>
      <c r="J6" s="14">
        <f t="shared" si="3"/>
        <v>78475320</v>
      </c>
      <c r="K6" s="14">
        <f t="shared" si="4"/>
        <v>20388900</v>
      </c>
      <c r="L6" s="14">
        <f t="shared" si="5"/>
        <v>61166700</v>
      </c>
      <c r="M6" s="14">
        <f t="shared" si="6"/>
        <v>101952480</v>
      </c>
      <c r="N6" s="14"/>
      <c r="O6" s="14">
        <f t="shared" si="7"/>
        <v>4788000</v>
      </c>
      <c r="P6" s="14">
        <f t="shared" si="8"/>
        <v>38038000</v>
      </c>
      <c r="Q6" s="14">
        <f t="shared" si="9"/>
        <v>53732000</v>
      </c>
      <c r="R6" s="14">
        <v>180</v>
      </c>
      <c r="S6" s="14" t="s">
        <v>26</v>
      </c>
      <c r="T6" s="14">
        <v>1250</v>
      </c>
      <c r="U6" s="14">
        <v>590</v>
      </c>
      <c r="V6" s="14">
        <v>1770</v>
      </c>
      <c r="W6" s="14">
        <v>2950.2</v>
      </c>
      <c r="X6" s="14">
        <v>766.5</v>
      </c>
      <c r="Y6" s="14">
        <v>2299.5</v>
      </c>
      <c r="Z6" s="14">
        <v>3832.8</v>
      </c>
      <c r="AA6" s="16"/>
    </row>
    <row r="7" spans="1:27" s="12" customFormat="1" ht="44.1" customHeight="1" x14ac:dyDescent="0.25">
      <c r="A7" s="13" t="s">
        <v>27</v>
      </c>
      <c r="B7" s="14">
        <f t="shared" si="0"/>
        <v>42041300</v>
      </c>
      <c r="C7" s="15"/>
      <c r="D7" s="15"/>
      <c r="E7" s="14">
        <f t="shared" ref="E7:E10" si="10">F7+G7</f>
        <v>15985536</v>
      </c>
      <c r="F7" s="14">
        <f>363*$H19</f>
        <v>9655800</v>
      </c>
      <c r="G7" s="14">
        <f>237.96*$H19</f>
        <v>6329736</v>
      </c>
      <c r="H7" s="14">
        <f t="shared" si="1"/>
        <v>24738000</v>
      </c>
      <c r="I7" s="14">
        <f t="shared" si="2"/>
        <v>74214000</v>
      </c>
      <c r="J7" s="14">
        <f t="shared" si="3"/>
        <v>123690000</v>
      </c>
      <c r="K7" s="14">
        <f t="shared" si="4"/>
        <v>32146100</v>
      </c>
      <c r="L7" s="14">
        <f t="shared" si="5"/>
        <v>96438300</v>
      </c>
      <c r="M7" s="14">
        <f t="shared" si="6"/>
        <v>160733160</v>
      </c>
      <c r="N7" s="14"/>
      <c r="O7" s="14">
        <f t="shared" si="7"/>
        <v>4788000</v>
      </c>
      <c r="P7" s="14">
        <f t="shared" si="8"/>
        <v>46829300</v>
      </c>
      <c r="Q7" s="14">
        <f t="shared" si="9"/>
        <v>71567300</v>
      </c>
      <c r="R7" s="14">
        <v>180</v>
      </c>
      <c r="S7" s="14" t="s">
        <v>28</v>
      </c>
      <c r="T7" s="14">
        <v>1580.5</v>
      </c>
      <c r="U7" s="14">
        <v>930</v>
      </c>
      <c r="V7" s="14">
        <v>2790</v>
      </c>
      <c r="W7" s="14">
        <v>4650</v>
      </c>
      <c r="X7" s="14">
        <v>1208.5</v>
      </c>
      <c r="Y7" s="14">
        <v>3625.5</v>
      </c>
      <c r="Z7" s="14">
        <v>6042.6</v>
      </c>
      <c r="AA7" s="16"/>
    </row>
    <row r="8" spans="1:27" s="12" customFormat="1" ht="44.1" customHeight="1" x14ac:dyDescent="0.25">
      <c r="A8" s="13" t="s">
        <v>29</v>
      </c>
      <c r="B8" s="14">
        <f t="shared" si="0"/>
        <v>65954700</v>
      </c>
      <c r="C8" s="15"/>
      <c r="D8" s="15"/>
      <c r="E8" s="14">
        <f t="shared" si="10"/>
        <v>30987936</v>
      </c>
      <c r="F8" s="14">
        <f>792*$H19</f>
        <v>21067200</v>
      </c>
      <c r="G8" s="14">
        <f>372.96*$H19</f>
        <v>9920736</v>
      </c>
      <c r="H8" s="14">
        <f t="shared" si="1"/>
        <v>52016300</v>
      </c>
      <c r="I8" s="14">
        <f t="shared" si="2"/>
        <v>156048900</v>
      </c>
      <c r="J8" s="14">
        <f t="shared" si="3"/>
        <v>260084160</v>
      </c>
      <c r="K8" s="14">
        <f t="shared" si="4"/>
        <v>70184100</v>
      </c>
      <c r="L8" s="14">
        <f t="shared" si="5"/>
        <v>210552300</v>
      </c>
      <c r="M8" s="14">
        <f t="shared" si="6"/>
        <v>350928480</v>
      </c>
      <c r="N8" s="14"/>
      <c r="O8" s="14">
        <f>R8*H$19</f>
        <v>9044000</v>
      </c>
      <c r="P8" s="14">
        <f t="shared" si="8"/>
        <v>74998700</v>
      </c>
      <c r="Q8" s="14">
        <f t="shared" si="9"/>
        <v>127015000</v>
      </c>
      <c r="R8" s="14">
        <v>340</v>
      </c>
      <c r="S8" s="14" t="s">
        <v>29</v>
      </c>
      <c r="T8" s="14">
        <v>2479.5</v>
      </c>
      <c r="U8" s="14">
        <v>1955.5</v>
      </c>
      <c r="V8" s="14">
        <v>5866.5</v>
      </c>
      <c r="W8" s="14">
        <v>9777.6</v>
      </c>
      <c r="X8" s="14">
        <v>2638.5</v>
      </c>
      <c r="Y8" s="14">
        <v>7915.5</v>
      </c>
      <c r="Z8" s="14">
        <v>13192.8</v>
      </c>
      <c r="AA8" s="16"/>
    </row>
    <row r="9" spans="1:27" s="12" customFormat="1" ht="44.1" customHeight="1" x14ac:dyDescent="0.25">
      <c r="A9" s="13" t="s">
        <v>30</v>
      </c>
      <c r="B9" s="14">
        <f t="shared" si="0"/>
        <v>91277900</v>
      </c>
      <c r="C9" s="14"/>
      <c r="D9" s="15"/>
      <c r="E9" s="14">
        <f t="shared" si="10"/>
        <v>43532496</v>
      </c>
      <c r="F9" s="14">
        <f>1121.04*$H19</f>
        <v>29819664</v>
      </c>
      <c r="G9" s="14">
        <f>515.52*$H19</f>
        <v>13712832</v>
      </c>
      <c r="H9" s="14">
        <f t="shared" si="1"/>
        <v>73575600</v>
      </c>
      <c r="I9" s="14">
        <f t="shared" si="2"/>
        <v>220726800</v>
      </c>
      <c r="J9" s="14">
        <f t="shared" si="3"/>
        <v>367878000</v>
      </c>
      <c r="K9" s="14">
        <f t="shared" si="4"/>
        <v>99351000</v>
      </c>
      <c r="L9" s="14">
        <f t="shared" si="5"/>
        <v>298053000</v>
      </c>
      <c r="M9" s="14">
        <f t="shared" si="6"/>
        <v>496755000</v>
      </c>
      <c r="N9" s="14"/>
      <c r="O9" s="14">
        <f>R9*H$19</f>
        <v>9044000</v>
      </c>
      <c r="P9" s="14">
        <f t="shared" si="8"/>
        <v>100321900</v>
      </c>
      <c r="Q9" s="14">
        <f t="shared" si="9"/>
        <v>173897500</v>
      </c>
      <c r="R9" s="14">
        <v>340</v>
      </c>
      <c r="S9" s="14" t="s">
        <v>30</v>
      </c>
      <c r="T9" s="14">
        <v>3431.5</v>
      </c>
      <c r="U9" s="14">
        <v>2766</v>
      </c>
      <c r="V9" s="14">
        <v>8298</v>
      </c>
      <c r="W9" s="14">
        <v>13830</v>
      </c>
      <c r="X9" s="14">
        <v>3735</v>
      </c>
      <c r="Y9" s="14">
        <v>11205</v>
      </c>
      <c r="Z9" s="14">
        <v>18675</v>
      </c>
      <c r="AA9" s="16"/>
    </row>
    <row r="10" spans="1:27" s="12" customFormat="1" ht="44.1" customHeight="1" x14ac:dyDescent="0.25">
      <c r="A10" s="13" t="s">
        <v>31</v>
      </c>
      <c r="B10" s="14">
        <f t="shared" si="0"/>
        <v>136990000</v>
      </c>
      <c r="C10" s="14">
        <f>724.56*$H$19</f>
        <v>19273296</v>
      </c>
      <c r="D10" s="14">
        <f>724.56*$H$19</f>
        <v>19273296</v>
      </c>
      <c r="E10" s="14">
        <f t="shared" si="10"/>
        <v>59093496</v>
      </c>
      <c r="F10" s="14">
        <f>1448.52*$H$19</f>
        <v>38530632</v>
      </c>
      <c r="G10" s="14">
        <f>773.04*$H$19</f>
        <v>20562864</v>
      </c>
      <c r="H10" s="14">
        <f t="shared" si="1"/>
        <v>95134900</v>
      </c>
      <c r="I10" s="14">
        <f t="shared" si="2"/>
        <v>285404700</v>
      </c>
      <c r="J10" s="14">
        <f t="shared" si="3"/>
        <v>475671840.00000006</v>
      </c>
      <c r="K10" s="14">
        <f t="shared" si="4"/>
        <v>128438100</v>
      </c>
      <c r="L10" s="14">
        <f t="shared" si="5"/>
        <v>385314300</v>
      </c>
      <c r="M10" s="14">
        <f t="shared" si="6"/>
        <v>642198480</v>
      </c>
      <c r="N10" s="14"/>
      <c r="O10" s="14">
        <f t="shared" si="7"/>
        <v>10374000</v>
      </c>
      <c r="P10" s="14">
        <f t="shared" si="8"/>
        <v>147364000</v>
      </c>
      <c r="Q10" s="14">
        <f t="shared" si="9"/>
        <v>242498900</v>
      </c>
      <c r="R10" s="14">
        <v>390</v>
      </c>
      <c r="S10" s="14" t="s">
        <v>31</v>
      </c>
      <c r="T10" s="14">
        <v>5150</v>
      </c>
      <c r="U10" s="14">
        <v>3576.5</v>
      </c>
      <c r="V10" s="14">
        <v>10729.5</v>
      </c>
      <c r="W10" s="14">
        <v>17882.400000000001</v>
      </c>
      <c r="X10" s="14">
        <v>4828.5</v>
      </c>
      <c r="Y10" s="14">
        <v>14485.5</v>
      </c>
      <c r="Z10" s="14">
        <v>24142.799999999999</v>
      </c>
      <c r="AA10" s="16"/>
    </row>
    <row r="11" spans="1:27" s="12" customFormat="1" ht="44.1" customHeight="1" x14ac:dyDescent="0.25">
      <c r="A11" s="13" t="s">
        <v>32</v>
      </c>
      <c r="B11" s="14">
        <f t="shared" si="0"/>
        <v>175679700</v>
      </c>
      <c r="C11" s="15"/>
      <c r="D11" s="15"/>
      <c r="E11" s="14"/>
      <c r="F11" s="14"/>
      <c r="G11" s="14"/>
      <c r="H11" s="14">
        <f t="shared" si="1"/>
        <v>132507900</v>
      </c>
      <c r="I11" s="14">
        <f t="shared" si="2"/>
        <v>397523700</v>
      </c>
      <c r="J11" s="14">
        <f t="shared" si="3"/>
        <v>662547480</v>
      </c>
      <c r="K11" s="14">
        <f t="shared" si="4"/>
        <v>178898300</v>
      </c>
      <c r="L11" s="14">
        <f t="shared" si="5"/>
        <v>536694900</v>
      </c>
      <c r="M11" s="14">
        <f t="shared" si="6"/>
        <v>894494160</v>
      </c>
      <c r="N11" s="14"/>
      <c r="O11" s="14">
        <f t="shared" si="7"/>
        <v>10374000</v>
      </c>
      <c r="P11" s="14">
        <f t="shared" si="8"/>
        <v>186053700</v>
      </c>
      <c r="Q11" s="14">
        <f t="shared" si="9"/>
        <v>318561600</v>
      </c>
      <c r="R11" s="14">
        <v>390</v>
      </c>
      <c r="S11" s="14" t="s">
        <v>32</v>
      </c>
      <c r="T11" s="14">
        <v>6604.5</v>
      </c>
      <c r="U11" s="14">
        <v>4981.5</v>
      </c>
      <c r="V11" s="14">
        <v>14944.5</v>
      </c>
      <c r="W11" s="14">
        <v>24907.8</v>
      </c>
      <c r="X11" s="14">
        <v>6725.5</v>
      </c>
      <c r="Y11" s="14">
        <v>20176.5</v>
      </c>
      <c r="Z11" s="14">
        <v>33627.599999999999</v>
      </c>
      <c r="AA11" s="16"/>
    </row>
    <row r="12" spans="1:27" s="12" customFormat="1" ht="44.1" customHeight="1" x14ac:dyDescent="0.25">
      <c r="A12" s="13" t="s">
        <v>33</v>
      </c>
      <c r="B12" s="14">
        <f t="shared" si="0"/>
        <v>261837100</v>
      </c>
      <c r="C12" s="15"/>
      <c r="D12" s="15"/>
      <c r="E12" s="14"/>
      <c r="F12" s="14"/>
      <c r="G12" s="14"/>
      <c r="H12" s="14">
        <f t="shared" si="1"/>
        <v>199074400</v>
      </c>
      <c r="I12" s="14">
        <f t="shared" si="2"/>
        <v>597223200</v>
      </c>
      <c r="J12" s="14">
        <f t="shared" si="3"/>
        <v>995377319.99999988</v>
      </c>
      <c r="K12" s="14">
        <f t="shared" si="4"/>
        <v>268739800</v>
      </c>
      <c r="L12" s="14">
        <f t="shared" si="5"/>
        <v>806219400</v>
      </c>
      <c r="M12" s="14">
        <f t="shared" si="6"/>
        <v>1343704320</v>
      </c>
      <c r="N12" s="14"/>
      <c r="O12" s="14">
        <f t="shared" si="7"/>
        <v>12768000</v>
      </c>
      <c r="P12" s="14">
        <f t="shared" si="8"/>
        <v>274605100</v>
      </c>
      <c r="Q12" s="14">
        <f t="shared" si="9"/>
        <v>473679500</v>
      </c>
      <c r="R12" s="14">
        <v>480</v>
      </c>
      <c r="S12" s="14" t="s">
        <v>33</v>
      </c>
      <c r="T12" s="14">
        <v>9843.5</v>
      </c>
      <c r="U12" s="14">
        <v>7484</v>
      </c>
      <c r="V12" s="14">
        <v>22452</v>
      </c>
      <c r="W12" s="14">
        <v>37420.199999999997</v>
      </c>
      <c r="X12" s="14">
        <v>10103</v>
      </c>
      <c r="Y12" s="14">
        <v>30309</v>
      </c>
      <c r="Z12" s="14">
        <v>50515.199999999997</v>
      </c>
      <c r="AA12" s="16"/>
    </row>
    <row r="13" spans="1:27" s="12" customFormat="1" ht="44.1" customHeight="1" x14ac:dyDescent="0.25">
      <c r="A13" s="13" t="s">
        <v>34</v>
      </c>
      <c r="B13" s="14">
        <f t="shared" si="0"/>
        <v>351519000</v>
      </c>
      <c r="C13" s="15"/>
      <c r="D13" s="15"/>
      <c r="E13" s="14"/>
      <c r="F13" s="14"/>
      <c r="G13" s="14"/>
      <c r="H13" s="14">
        <f t="shared" si="1"/>
        <v>280443800</v>
      </c>
      <c r="I13" s="14">
        <f t="shared" si="2"/>
        <v>841331400</v>
      </c>
      <c r="J13" s="14">
        <f t="shared" si="3"/>
        <v>1402213680</v>
      </c>
      <c r="K13" s="14">
        <f t="shared" si="4"/>
        <v>378584500</v>
      </c>
      <c r="L13" s="14">
        <f t="shared" si="5"/>
        <v>1135753500</v>
      </c>
      <c r="M13" s="14">
        <f t="shared" si="6"/>
        <v>1892919839.9999998</v>
      </c>
      <c r="N13" s="14"/>
      <c r="O13" s="14">
        <f t="shared" si="7"/>
        <v>12768000</v>
      </c>
      <c r="P13" s="14">
        <f t="shared" si="8"/>
        <v>364287000</v>
      </c>
      <c r="Q13" s="14">
        <f t="shared" si="9"/>
        <v>644730800</v>
      </c>
      <c r="R13" s="14">
        <v>480</v>
      </c>
      <c r="S13" s="14" t="s">
        <v>34</v>
      </c>
      <c r="T13" s="14">
        <v>13215</v>
      </c>
      <c r="U13" s="14">
        <v>10543</v>
      </c>
      <c r="V13" s="14">
        <v>31629</v>
      </c>
      <c r="W13" s="14">
        <v>52714.8</v>
      </c>
      <c r="X13" s="14">
        <v>14232.5</v>
      </c>
      <c r="Y13" s="14">
        <v>42697.5</v>
      </c>
      <c r="Z13" s="14">
        <v>71162.399999999994</v>
      </c>
      <c r="AA13" s="16"/>
    </row>
    <row r="14" spans="1:27" s="12" customFormat="1" ht="44.1" customHeight="1" x14ac:dyDescent="0.25">
      <c r="A14" s="13" t="s">
        <v>35</v>
      </c>
      <c r="B14" s="14">
        <f t="shared" si="0"/>
        <v>543185300</v>
      </c>
      <c r="C14" s="15"/>
      <c r="D14" s="15"/>
      <c r="E14" s="14"/>
      <c r="F14" s="14"/>
      <c r="G14" s="14"/>
      <c r="H14" s="14">
        <f t="shared" si="1"/>
        <v>378371700</v>
      </c>
      <c r="I14" s="14">
        <f t="shared" si="2"/>
        <v>1135115100</v>
      </c>
      <c r="J14" s="14">
        <f t="shared" si="3"/>
        <v>1891866480</v>
      </c>
      <c r="K14" s="14">
        <f t="shared" si="4"/>
        <v>529685800</v>
      </c>
      <c r="L14" s="14">
        <f t="shared" si="5"/>
        <v>1589057400</v>
      </c>
      <c r="M14" s="14">
        <f t="shared" si="6"/>
        <v>2648434320</v>
      </c>
      <c r="N14" s="14"/>
      <c r="O14" s="14">
        <f t="shared" si="7"/>
        <v>15162000</v>
      </c>
      <c r="P14" s="14">
        <f t="shared" si="8"/>
        <v>558347300</v>
      </c>
      <c r="Q14" s="14">
        <f t="shared" si="9"/>
        <v>936719000</v>
      </c>
      <c r="R14" s="14">
        <v>570</v>
      </c>
      <c r="S14" s="14" t="s">
        <v>35</v>
      </c>
      <c r="T14" s="14">
        <v>20420.5</v>
      </c>
      <c r="U14" s="14">
        <v>14224.5</v>
      </c>
      <c r="V14" s="14">
        <v>42673.5</v>
      </c>
      <c r="W14" s="14">
        <v>71122.8</v>
      </c>
      <c r="X14" s="14">
        <v>19913</v>
      </c>
      <c r="Y14" s="14">
        <v>59739</v>
      </c>
      <c r="Z14" s="14">
        <v>99565.2</v>
      </c>
      <c r="AA14" s="16"/>
    </row>
    <row r="15" spans="1:27" s="12" customFormat="1" ht="44.1" customHeight="1" x14ac:dyDescent="0.25">
      <c r="A15" s="13" t="s">
        <v>36</v>
      </c>
      <c r="B15" s="14">
        <f t="shared" si="0"/>
        <v>843858400</v>
      </c>
      <c r="C15" s="15"/>
      <c r="D15" s="15"/>
      <c r="E15" s="14"/>
      <c r="F15" s="14"/>
      <c r="G15" s="14"/>
      <c r="H15" s="14">
        <f t="shared" si="1"/>
        <v>561645700</v>
      </c>
      <c r="I15" s="14">
        <f t="shared" si="2"/>
        <v>1684937100</v>
      </c>
      <c r="J15" s="14">
        <f t="shared" si="3"/>
        <v>2808225840</v>
      </c>
      <c r="K15" s="14">
        <f t="shared" si="4"/>
        <v>786309300</v>
      </c>
      <c r="L15" s="14">
        <f t="shared" si="5"/>
        <v>2358927900</v>
      </c>
      <c r="M15" s="14">
        <f t="shared" si="6"/>
        <v>3931554479.9999995</v>
      </c>
      <c r="N15" s="14"/>
      <c r="O15" s="14">
        <f t="shared" si="7"/>
        <v>18088000</v>
      </c>
      <c r="P15" s="14">
        <f t="shared" si="8"/>
        <v>861946400</v>
      </c>
      <c r="Q15" s="14">
        <f t="shared" si="9"/>
        <v>1423592100</v>
      </c>
      <c r="R15" s="14">
        <v>680</v>
      </c>
      <c r="S15" s="14" t="s">
        <v>36</v>
      </c>
      <c r="T15" s="14">
        <v>31724</v>
      </c>
      <c r="U15" s="14">
        <v>21114.5</v>
      </c>
      <c r="V15" s="14">
        <v>63343.5</v>
      </c>
      <c r="W15" s="14">
        <v>105572.4</v>
      </c>
      <c r="X15" s="14">
        <v>29560.5</v>
      </c>
      <c r="Y15" s="14">
        <v>88681.5</v>
      </c>
      <c r="Z15" s="14">
        <v>147802.79999999999</v>
      </c>
      <c r="AA15" s="16"/>
    </row>
    <row r="16" spans="1:27" s="12" customFormat="1" ht="44.1" customHeight="1" x14ac:dyDescent="0.25">
      <c r="A16" s="13" t="s">
        <v>37</v>
      </c>
      <c r="B16" s="14">
        <f t="shared" si="0"/>
        <v>1181401760</v>
      </c>
      <c r="C16" s="15"/>
      <c r="D16" s="15"/>
      <c r="E16" s="14"/>
      <c r="F16" s="14"/>
      <c r="G16" s="14"/>
      <c r="H16" s="14">
        <f t="shared" si="1"/>
        <v>786303980</v>
      </c>
      <c r="I16" s="14">
        <f t="shared" si="2"/>
        <v>2358911940</v>
      </c>
      <c r="J16" s="14">
        <f t="shared" si="3"/>
        <v>3931522560</v>
      </c>
      <c r="K16" s="14">
        <f t="shared" si="4"/>
        <v>1100833020</v>
      </c>
      <c r="L16" s="14">
        <f t="shared" si="5"/>
        <v>3302499060</v>
      </c>
      <c r="M16" s="14">
        <f t="shared" si="6"/>
        <v>5504173080</v>
      </c>
      <c r="N16" s="14"/>
      <c r="O16" s="14">
        <f t="shared" si="7"/>
        <v>18620000</v>
      </c>
      <c r="P16" s="14">
        <f t="shared" si="8"/>
        <v>1200021760</v>
      </c>
      <c r="Q16" s="14">
        <f t="shared" si="9"/>
        <v>1986325740</v>
      </c>
      <c r="R16" s="14">
        <v>700</v>
      </c>
      <c r="S16" s="14" t="s">
        <v>37</v>
      </c>
      <c r="T16" s="14">
        <v>44413.599999999999</v>
      </c>
      <c r="U16" s="14">
        <v>29560.3</v>
      </c>
      <c r="V16" s="14">
        <v>88680.9</v>
      </c>
      <c r="W16" s="14">
        <v>147801.60000000001</v>
      </c>
      <c r="X16" s="14">
        <v>41384.699999999997</v>
      </c>
      <c r="Y16" s="14">
        <v>124154.1</v>
      </c>
      <c r="Z16" s="14">
        <v>206923.8</v>
      </c>
      <c r="AA16" s="16"/>
    </row>
    <row r="17" spans="1:27" s="12" customFormat="1" ht="44.1" customHeight="1" x14ac:dyDescent="0.25">
      <c r="A17" s="13" t="s">
        <v>38</v>
      </c>
      <c r="B17" s="14">
        <f t="shared" si="0"/>
        <v>1535822288</v>
      </c>
      <c r="C17" s="15"/>
      <c r="D17" s="15"/>
      <c r="E17" s="14"/>
      <c r="F17" s="14"/>
      <c r="G17" s="14"/>
      <c r="H17" s="14">
        <f t="shared" si="1"/>
        <v>1022195174</v>
      </c>
      <c r="I17" s="14">
        <f t="shared" si="2"/>
        <v>3066585522</v>
      </c>
      <c r="J17" s="14">
        <f t="shared" si="3"/>
        <v>5110982520</v>
      </c>
      <c r="K17" s="14">
        <f t="shared" si="4"/>
        <v>1431082926</v>
      </c>
      <c r="L17" s="14">
        <f t="shared" si="5"/>
        <v>4293248777.9999995</v>
      </c>
      <c r="M17" s="14">
        <f t="shared" si="6"/>
        <v>7155410640.000001</v>
      </c>
      <c r="N17" s="14"/>
      <c r="O17" s="14">
        <f t="shared" si="7"/>
        <v>18620000</v>
      </c>
      <c r="P17" s="14">
        <f t="shared" si="8"/>
        <v>1554442288</v>
      </c>
      <c r="Q17" s="14">
        <f t="shared" si="9"/>
        <v>2576637462</v>
      </c>
      <c r="R17" s="14">
        <v>700</v>
      </c>
      <c r="S17" s="14" t="s">
        <v>38</v>
      </c>
      <c r="T17" s="14">
        <v>57737.68</v>
      </c>
      <c r="U17" s="14">
        <v>38428.39</v>
      </c>
      <c r="V17" s="14">
        <v>115285.17</v>
      </c>
      <c r="W17" s="14">
        <v>192142.2</v>
      </c>
      <c r="X17" s="14">
        <v>53800.11</v>
      </c>
      <c r="Y17" s="14">
        <v>161400.32999999999</v>
      </c>
      <c r="Z17" s="14">
        <v>269000.40000000002</v>
      </c>
      <c r="AA17" s="16"/>
    </row>
    <row r="19" spans="1:27" x14ac:dyDescent="0.25">
      <c r="B19" t="s">
        <v>39</v>
      </c>
      <c r="H19" s="17">
        <v>26600</v>
      </c>
      <c r="I19" s="18">
        <f>L7/I7</f>
        <v>1.2994623655913979</v>
      </c>
      <c r="K19" s="1"/>
      <c r="L19" s="1"/>
      <c r="U19" s="1"/>
    </row>
    <row r="20" spans="1:27" x14ac:dyDescent="0.25">
      <c r="B20" s="1">
        <f>B8+H8</f>
        <v>117971000</v>
      </c>
      <c r="C20" s="1"/>
      <c r="D20" s="1"/>
      <c r="E20" s="1"/>
      <c r="F20" s="1"/>
      <c r="G20" s="1"/>
      <c r="I20">
        <f>I7*0.85</f>
        <v>63081900</v>
      </c>
      <c r="T20" s="19"/>
      <c r="U20" s="1"/>
    </row>
    <row r="21" spans="1:27" x14ac:dyDescent="0.25">
      <c r="B21" s="18">
        <v>0.5</v>
      </c>
      <c r="C21" s="18"/>
      <c r="D21" s="18"/>
      <c r="E21" s="18"/>
      <c r="F21" s="18"/>
      <c r="G21" s="18"/>
      <c r="T21" s="14">
        <v>168789600</v>
      </c>
      <c r="U21" s="18">
        <v>0.15</v>
      </c>
      <c r="V21" s="20">
        <f>T21*U21</f>
        <v>25318440</v>
      </c>
      <c r="W21" s="21"/>
      <c r="X21" s="1"/>
    </row>
    <row r="22" spans="1:27" ht="22.35" customHeight="1" x14ac:dyDescent="0.25">
      <c r="B22" s="18">
        <v>0.5</v>
      </c>
      <c r="C22" s="18"/>
      <c r="D22" s="18"/>
      <c r="E22" s="18"/>
      <c r="F22" s="18"/>
      <c r="G22" s="18"/>
      <c r="T22" s="14">
        <v>168789600</v>
      </c>
      <c r="U22" s="18">
        <v>0.3</v>
      </c>
      <c r="V22" s="20">
        <f>T22*U22</f>
        <v>50636880</v>
      </c>
      <c r="W22" s="21"/>
      <c r="X22" s="1"/>
    </row>
    <row r="23" spans="1:27" x14ac:dyDescent="0.25">
      <c r="F23" s="1">
        <f>F9+G9</f>
        <v>43532496</v>
      </c>
      <c r="H23">
        <v>515.52</v>
      </c>
      <c r="L23" s="22"/>
      <c r="T23" t="s">
        <v>40</v>
      </c>
      <c r="U23" s="18">
        <v>0.25</v>
      </c>
      <c r="V23" s="20">
        <f>V22*U23</f>
        <v>12659220</v>
      </c>
    </row>
    <row r="24" spans="1:27" x14ac:dyDescent="0.25">
      <c r="V24" s="20">
        <f>V22-V23</f>
        <v>37977660</v>
      </c>
      <c r="W24" s="21"/>
      <c r="Y24" s="1"/>
    </row>
    <row r="25" spans="1:27" x14ac:dyDescent="0.25">
      <c r="W25" s="21"/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4"/>
  <sheetViews>
    <sheetView tabSelected="1" zoomScale="90" zoomScaleNormal="90" workbookViewId="0">
      <selection activeCell="D12" sqref="D12"/>
    </sheetView>
  </sheetViews>
  <sheetFormatPr defaultColWidth="9" defaultRowHeight="15" x14ac:dyDescent="0.25"/>
  <cols>
    <col min="1" max="1" width="17.5703125" style="23" customWidth="1"/>
    <col min="2" max="2" width="23" style="23" customWidth="1"/>
    <col min="3" max="3" width="56.42578125" style="23" customWidth="1"/>
    <col min="4" max="4" width="61.5703125" style="23" customWidth="1"/>
    <col min="5" max="5" width="89.85546875" style="23" customWidth="1"/>
    <col min="6" max="7" width="19.85546875" style="23" customWidth="1"/>
    <col min="8" max="8" width="14.7109375" style="23" customWidth="1"/>
    <col min="9" max="9" width="9" style="23" customWidth="1"/>
    <col min="10" max="16384" width="9" style="23"/>
  </cols>
  <sheetData>
    <row r="1" spans="1:8" ht="33.200000000000003" customHeight="1" x14ac:dyDescent="0.25">
      <c r="A1" s="89" t="s">
        <v>41</v>
      </c>
      <c r="B1" s="89"/>
      <c r="C1" s="89"/>
      <c r="D1" s="89"/>
      <c r="E1" s="89"/>
      <c r="F1" s="89"/>
    </row>
    <row r="2" spans="1:8" ht="25.35" customHeight="1" x14ac:dyDescent="0.25">
      <c r="A2" s="90" t="s">
        <v>42</v>
      </c>
      <c r="B2" s="90"/>
      <c r="C2" s="25"/>
    </row>
    <row r="3" spans="1:8" ht="15.75" customHeight="1" x14ac:dyDescent="0.25"/>
    <row r="4" spans="1:8" ht="31.5" customHeight="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7" t="s">
        <v>48</v>
      </c>
      <c r="G4" s="27" t="s">
        <v>49</v>
      </c>
      <c r="H4" s="27" t="s">
        <v>50</v>
      </c>
    </row>
    <row r="5" spans="1:8" ht="19.350000000000001" customHeight="1" x14ac:dyDescent="0.25">
      <c r="A5" s="28" t="s">
        <v>51</v>
      </c>
      <c r="B5" s="29"/>
      <c r="C5" s="29"/>
      <c r="D5" s="29"/>
      <c r="E5" s="29"/>
      <c r="F5" s="30"/>
      <c r="G5" s="30"/>
      <c r="H5" s="91" t="s">
        <v>52</v>
      </c>
    </row>
    <row r="6" spans="1:8" ht="45" customHeight="1" x14ac:dyDescent="0.25">
      <c r="A6" s="13">
        <v>1</v>
      </c>
      <c r="B6" s="6" t="s">
        <v>53</v>
      </c>
      <c r="C6" s="31" t="s">
        <v>54</v>
      </c>
      <c r="D6" s="31" t="s">
        <v>55</v>
      </c>
      <c r="E6" s="32" t="s">
        <v>56</v>
      </c>
      <c r="F6" s="33">
        <v>603.9</v>
      </c>
      <c r="G6" s="33">
        <v>120</v>
      </c>
      <c r="H6" s="92"/>
    </row>
    <row r="7" spans="1:8" ht="133.5" customHeight="1" x14ac:dyDescent="0.25">
      <c r="A7" s="13">
        <v>2</v>
      </c>
      <c r="B7" s="6" t="s">
        <v>57</v>
      </c>
      <c r="C7" s="31" t="s">
        <v>58</v>
      </c>
      <c r="D7" s="31" t="s">
        <v>59</v>
      </c>
      <c r="E7" s="32" t="s">
        <v>60</v>
      </c>
      <c r="F7" s="33">
        <v>435.12</v>
      </c>
      <c r="G7" s="33"/>
      <c r="H7" s="92"/>
    </row>
    <row r="8" spans="1:8" ht="36.6" customHeight="1" x14ac:dyDescent="0.25">
      <c r="A8" s="13">
        <v>3</v>
      </c>
      <c r="B8" s="6" t="s">
        <v>61</v>
      </c>
      <c r="C8" s="31" t="s">
        <v>62</v>
      </c>
      <c r="D8" s="31" t="s">
        <v>63</v>
      </c>
      <c r="E8" s="32" t="s">
        <v>64</v>
      </c>
      <c r="F8" s="33">
        <v>66</v>
      </c>
      <c r="G8" s="33"/>
      <c r="H8" s="92"/>
    </row>
    <row r="9" spans="1:8" ht="34.5" customHeight="1" x14ac:dyDescent="0.25">
      <c r="A9" s="13">
        <v>4</v>
      </c>
      <c r="B9" s="6" t="s">
        <v>65</v>
      </c>
      <c r="C9" s="31" t="s">
        <v>66</v>
      </c>
      <c r="D9" s="31" t="s">
        <v>67</v>
      </c>
      <c r="E9" s="32" t="s">
        <v>68</v>
      </c>
      <c r="F9" s="33">
        <v>66</v>
      </c>
      <c r="G9" s="33"/>
      <c r="H9" s="93"/>
    </row>
    <row r="10" spans="1:8" ht="19.350000000000001" customHeight="1" x14ac:dyDescent="0.25">
      <c r="A10" s="28" t="s">
        <v>51</v>
      </c>
      <c r="B10" s="29"/>
      <c r="C10" s="29"/>
      <c r="D10" s="29"/>
      <c r="E10" s="29"/>
      <c r="F10" s="30"/>
      <c r="G10" s="30"/>
      <c r="H10" s="91" t="s">
        <v>69</v>
      </c>
    </row>
    <row r="11" spans="1:8" ht="45" customHeight="1" x14ac:dyDescent="0.25">
      <c r="A11" s="13">
        <v>1</v>
      </c>
      <c r="B11" s="6" t="s">
        <v>70</v>
      </c>
      <c r="C11" s="31" t="s">
        <v>54</v>
      </c>
      <c r="D11" s="31" t="s">
        <v>71</v>
      </c>
      <c r="E11" s="32" t="s">
        <v>56</v>
      </c>
      <c r="F11" s="33">
        <v>603.9</v>
      </c>
      <c r="G11" s="33">
        <v>120</v>
      </c>
      <c r="H11" s="92"/>
    </row>
    <row r="12" spans="1:8" ht="133.5" customHeight="1" x14ac:dyDescent="0.25">
      <c r="A12" s="13">
        <v>2</v>
      </c>
      <c r="B12" s="6" t="s">
        <v>57</v>
      </c>
      <c r="C12" s="31" t="s">
        <v>58</v>
      </c>
      <c r="D12" s="31" t="s">
        <v>59</v>
      </c>
      <c r="E12" s="32" t="s">
        <v>60</v>
      </c>
      <c r="F12" s="33">
        <v>435.12</v>
      </c>
      <c r="G12" s="33"/>
      <c r="H12" s="92"/>
    </row>
    <row r="13" spans="1:8" ht="36.6" customHeight="1" x14ac:dyDescent="0.25">
      <c r="A13" s="13">
        <v>3</v>
      </c>
      <c r="B13" s="6" t="s">
        <v>61</v>
      </c>
      <c r="C13" s="31" t="s">
        <v>62</v>
      </c>
      <c r="D13" s="31" t="s">
        <v>63</v>
      </c>
      <c r="E13" s="32" t="s">
        <v>64</v>
      </c>
      <c r="F13" s="33">
        <v>66</v>
      </c>
      <c r="G13" s="33"/>
      <c r="H13" s="92"/>
    </row>
    <row r="14" spans="1:8" ht="34.5" customHeight="1" x14ac:dyDescent="0.25">
      <c r="A14" s="13">
        <v>4</v>
      </c>
      <c r="B14" s="6" t="s">
        <v>65</v>
      </c>
      <c r="C14" s="31" t="s">
        <v>66</v>
      </c>
      <c r="D14" s="31" t="s">
        <v>67</v>
      </c>
      <c r="E14" s="32" t="s">
        <v>68</v>
      </c>
      <c r="F14" s="33">
        <v>66</v>
      </c>
      <c r="G14" s="33"/>
      <c r="H14" s="93"/>
    </row>
    <row r="15" spans="1:8" s="34" customFormat="1" ht="19.350000000000001" customHeight="1" x14ac:dyDescent="0.25">
      <c r="A15" s="28" t="s">
        <v>51</v>
      </c>
      <c r="B15" s="29"/>
      <c r="C15" s="29"/>
      <c r="D15" s="29"/>
      <c r="E15" s="29"/>
      <c r="F15" s="30"/>
      <c r="G15" s="30"/>
      <c r="H15" s="91" t="s">
        <v>72</v>
      </c>
    </row>
    <row r="16" spans="1:8" ht="45" customHeight="1" x14ac:dyDescent="0.25">
      <c r="A16" s="13">
        <v>1</v>
      </c>
      <c r="B16" s="6" t="s">
        <v>73</v>
      </c>
      <c r="C16" s="31" t="s">
        <v>54</v>
      </c>
      <c r="D16" s="31" t="s">
        <v>74</v>
      </c>
      <c r="E16" s="32" t="s">
        <v>56</v>
      </c>
      <c r="F16" s="33">
        <v>603.9</v>
      </c>
      <c r="G16" s="33">
        <v>120</v>
      </c>
      <c r="H16" s="92"/>
    </row>
    <row r="17" spans="1:8" ht="133.5" customHeight="1" x14ac:dyDescent="0.25">
      <c r="A17" s="13">
        <v>2</v>
      </c>
      <c r="B17" s="6" t="s">
        <v>57</v>
      </c>
      <c r="C17" s="31" t="s">
        <v>58</v>
      </c>
      <c r="D17" s="31" t="s">
        <v>59</v>
      </c>
      <c r="E17" s="32" t="s">
        <v>60</v>
      </c>
      <c r="F17" s="33">
        <v>435.12</v>
      </c>
      <c r="G17" s="33"/>
      <c r="H17" s="92"/>
    </row>
    <row r="18" spans="1:8" ht="36.6" customHeight="1" x14ac:dyDescent="0.25">
      <c r="A18" s="13">
        <v>3</v>
      </c>
      <c r="B18" s="6" t="s">
        <v>61</v>
      </c>
      <c r="C18" s="31" t="s">
        <v>62</v>
      </c>
      <c r="D18" s="31" t="s">
        <v>63</v>
      </c>
      <c r="E18" s="32" t="s">
        <v>64</v>
      </c>
      <c r="F18" s="33">
        <v>66</v>
      </c>
      <c r="G18" s="33"/>
      <c r="H18" s="92"/>
    </row>
    <row r="19" spans="1:8" ht="34.5" customHeight="1" x14ac:dyDescent="0.25">
      <c r="A19" s="13">
        <v>4</v>
      </c>
      <c r="B19" s="6" t="s">
        <v>65</v>
      </c>
      <c r="C19" s="31" t="s">
        <v>66</v>
      </c>
      <c r="D19" s="31" t="s">
        <v>67</v>
      </c>
      <c r="E19" s="32" t="s">
        <v>68</v>
      </c>
      <c r="F19" s="33">
        <v>66</v>
      </c>
      <c r="G19" s="33"/>
      <c r="H19" s="93"/>
    </row>
    <row r="20" spans="1:8" ht="19.350000000000001" customHeight="1" x14ac:dyDescent="0.25">
      <c r="A20" s="28" t="s">
        <v>51</v>
      </c>
      <c r="B20" s="29"/>
      <c r="C20" s="29"/>
      <c r="D20" s="29"/>
      <c r="E20" s="29"/>
      <c r="F20" s="30"/>
      <c r="G20" s="30"/>
      <c r="H20" s="91" t="s">
        <v>75</v>
      </c>
    </row>
    <row r="21" spans="1:8" ht="45" customHeight="1" x14ac:dyDescent="0.25">
      <c r="A21" s="13">
        <v>1</v>
      </c>
      <c r="B21" s="6" t="s">
        <v>76</v>
      </c>
      <c r="C21" s="31" t="s">
        <v>54</v>
      </c>
      <c r="D21" s="31" t="s">
        <v>77</v>
      </c>
      <c r="E21" s="32" t="s">
        <v>56</v>
      </c>
      <c r="F21" s="33">
        <v>603.9</v>
      </c>
      <c r="G21" s="33">
        <v>120</v>
      </c>
      <c r="H21" s="92"/>
    </row>
    <row r="22" spans="1:8" s="34" customFormat="1" ht="133.5" customHeight="1" x14ac:dyDescent="0.25">
      <c r="A22" s="13">
        <v>2</v>
      </c>
      <c r="B22" s="6" t="s">
        <v>57</v>
      </c>
      <c r="C22" s="31" t="s">
        <v>58</v>
      </c>
      <c r="D22" s="31" t="s">
        <v>59</v>
      </c>
      <c r="E22" s="32" t="s">
        <v>60</v>
      </c>
      <c r="F22" s="33">
        <v>435.12</v>
      </c>
      <c r="G22" s="33"/>
      <c r="H22" s="92"/>
    </row>
    <row r="23" spans="1:8" ht="36.6" customHeight="1" x14ac:dyDescent="0.25">
      <c r="A23" s="13">
        <v>3</v>
      </c>
      <c r="B23" s="6" t="s">
        <v>61</v>
      </c>
      <c r="C23" s="31" t="s">
        <v>62</v>
      </c>
      <c r="D23" s="31" t="s">
        <v>63</v>
      </c>
      <c r="E23" s="32" t="s">
        <v>64</v>
      </c>
      <c r="F23" s="33">
        <v>66</v>
      </c>
      <c r="G23" s="33"/>
      <c r="H23" s="92"/>
    </row>
    <row r="24" spans="1:8" ht="34.5" customHeight="1" x14ac:dyDescent="0.25">
      <c r="A24" s="13">
        <v>4</v>
      </c>
      <c r="B24" s="6" t="s">
        <v>65</v>
      </c>
      <c r="C24" s="31" t="s">
        <v>66</v>
      </c>
      <c r="D24" s="31" t="s">
        <v>67</v>
      </c>
      <c r="E24" s="32" t="s">
        <v>68</v>
      </c>
      <c r="F24" s="33">
        <v>66</v>
      </c>
      <c r="G24" s="33"/>
      <c r="H24" s="93"/>
    </row>
    <row r="25" spans="1:8" ht="19.350000000000001" customHeight="1" x14ac:dyDescent="0.25">
      <c r="A25" s="28" t="s">
        <v>51</v>
      </c>
      <c r="B25" s="29"/>
      <c r="C25" s="29"/>
      <c r="D25" s="29"/>
      <c r="E25" s="29"/>
      <c r="F25" s="30"/>
      <c r="G25" s="30"/>
      <c r="H25" s="91" t="s">
        <v>78</v>
      </c>
    </row>
    <row r="26" spans="1:8" ht="45" customHeight="1" x14ac:dyDescent="0.25">
      <c r="A26" s="13">
        <v>1</v>
      </c>
      <c r="B26" s="6" t="s">
        <v>79</v>
      </c>
      <c r="C26" s="31" t="s">
        <v>54</v>
      </c>
      <c r="D26" s="31" t="s">
        <v>80</v>
      </c>
      <c r="E26" s="32" t="s">
        <v>56</v>
      </c>
      <c r="F26" s="33">
        <v>603.9</v>
      </c>
      <c r="G26" s="33">
        <v>120</v>
      </c>
      <c r="H26" s="92"/>
    </row>
    <row r="27" spans="1:8" ht="133.5" customHeight="1" x14ac:dyDescent="0.25">
      <c r="A27" s="13">
        <v>2</v>
      </c>
      <c r="B27" s="6" t="s">
        <v>57</v>
      </c>
      <c r="C27" s="31" t="s">
        <v>58</v>
      </c>
      <c r="D27" s="31" t="s">
        <v>59</v>
      </c>
      <c r="E27" s="32" t="s">
        <v>60</v>
      </c>
      <c r="F27" s="33">
        <v>435.12</v>
      </c>
      <c r="G27" s="33"/>
      <c r="H27" s="92"/>
    </row>
    <row r="28" spans="1:8" ht="36.6" customHeight="1" x14ac:dyDescent="0.25">
      <c r="A28" s="13">
        <v>3</v>
      </c>
      <c r="B28" s="6" t="s">
        <v>61</v>
      </c>
      <c r="C28" s="31" t="s">
        <v>62</v>
      </c>
      <c r="D28" s="31" t="s">
        <v>63</v>
      </c>
      <c r="E28" s="32" t="s">
        <v>64</v>
      </c>
      <c r="F28" s="33">
        <v>66</v>
      </c>
      <c r="G28" s="33"/>
      <c r="H28" s="92"/>
    </row>
    <row r="29" spans="1:8" s="34" customFormat="1" ht="34.5" customHeight="1" x14ac:dyDescent="0.25">
      <c r="A29" s="13">
        <v>4</v>
      </c>
      <c r="B29" s="6" t="s">
        <v>65</v>
      </c>
      <c r="C29" s="31" t="s">
        <v>66</v>
      </c>
      <c r="D29" s="31" t="s">
        <v>67</v>
      </c>
      <c r="E29" s="32" t="s">
        <v>68</v>
      </c>
      <c r="F29" s="33">
        <v>66</v>
      </c>
      <c r="G29" s="33"/>
      <c r="H29" s="93"/>
    </row>
    <row r="30" spans="1:8" ht="21" customHeight="1" x14ac:dyDescent="0.25">
      <c r="A30" s="35" t="s">
        <v>81</v>
      </c>
      <c r="B30" s="36"/>
      <c r="C30" s="36"/>
      <c r="D30" s="36"/>
      <c r="E30" s="36"/>
      <c r="F30" s="37"/>
      <c r="G30" s="37"/>
      <c r="H30" s="91" t="s">
        <v>52</v>
      </c>
    </row>
    <row r="31" spans="1:8" ht="49.15" customHeight="1" x14ac:dyDescent="0.25">
      <c r="A31" s="13">
        <v>1</v>
      </c>
      <c r="B31" s="6" t="s">
        <v>82</v>
      </c>
      <c r="C31" s="31" t="s">
        <v>83</v>
      </c>
      <c r="D31" s="31" t="s">
        <v>84</v>
      </c>
      <c r="E31" s="32" t="s">
        <v>85</v>
      </c>
      <c r="F31" s="33">
        <v>793.1</v>
      </c>
      <c r="G31" s="33">
        <v>180</v>
      </c>
      <c r="H31" s="92"/>
    </row>
    <row r="32" spans="1:8" ht="144.4" customHeight="1" x14ac:dyDescent="0.25">
      <c r="A32" s="13">
        <v>2</v>
      </c>
      <c r="B32" s="6" t="s">
        <v>86</v>
      </c>
      <c r="C32" s="31" t="s">
        <v>87</v>
      </c>
      <c r="D32" s="31" t="s">
        <v>88</v>
      </c>
      <c r="E32" s="32" t="s">
        <v>89</v>
      </c>
      <c r="F32" s="33">
        <v>476.28</v>
      </c>
      <c r="G32" s="33"/>
      <c r="H32" s="92"/>
    </row>
    <row r="33" spans="1:8" ht="34.15" customHeight="1" x14ac:dyDescent="0.25">
      <c r="A33" s="13">
        <v>3</v>
      </c>
      <c r="B33" s="6" t="s">
        <v>90</v>
      </c>
      <c r="C33" s="31" t="s">
        <v>91</v>
      </c>
      <c r="D33" s="31" t="s">
        <v>92</v>
      </c>
      <c r="E33" s="32" t="s">
        <v>93</v>
      </c>
      <c r="F33" s="33">
        <v>71.52</v>
      </c>
      <c r="G33" s="33"/>
      <c r="H33" s="92"/>
    </row>
    <row r="34" spans="1:8" s="34" customFormat="1" ht="33.6" customHeight="1" x14ac:dyDescent="0.25">
      <c r="A34" s="13">
        <v>4</v>
      </c>
      <c r="B34" s="6" t="s">
        <v>94</v>
      </c>
      <c r="C34" s="31" t="s">
        <v>95</v>
      </c>
      <c r="D34" s="31" t="s">
        <v>96</v>
      </c>
      <c r="E34" s="32" t="s">
        <v>97</v>
      </c>
      <c r="F34" s="33">
        <v>71.52</v>
      </c>
      <c r="G34" s="33"/>
      <c r="H34" s="92"/>
    </row>
    <row r="35" spans="1:8" s="34" customFormat="1" ht="47.25" customHeight="1" x14ac:dyDescent="0.25">
      <c r="A35" s="13">
        <v>5</v>
      </c>
      <c r="B35" s="6" t="s">
        <v>98</v>
      </c>
      <c r="C35" s="31" t="s">
        <v>99</v>
      </c>
      <c r="D35" s="31" t="s">
        <v>100</v>
      </c>
      <c r="E35" s="32" t="s">
        <v>99</v>
      </c>
      <c r="F35" s="33">
        <v>79.2</v>
      </c>
      <c r="G35" s="33"/>
      <c r="H35" s="93"/>
    </row>
    <row r="36" spans="1:8" ht="21" customHeight="1" x14ac:dyDescent="0.25">
      <c r="A36" s="35" t="s">
        <v>81</v>
      </c>
      <c r="B36" s="36"/>
      <c r="C36" s="36"/>
      <c r="D36" s="36"/>
      <c r="E36" s="36"/>
      <c r="F36" s="37"/>
      <c r="G36" s="37"/>
      <c r="H36" s="91" t="s">
        <v>69</v>
      </c>
    </row>
    <row r="37" spans="1:8" ht="49.15" customHeight="1" x14ac:dyDescent="0.25">
      <c r="A37" s="13">
        <v>1</v>
      </c>
      <c r="B37" s="6" t="s">
        <v>101</v>
      </c>
      <c r="C37" s="31" t="s">
        <v>83</v>
      </c>
      <c r="D37" s="31" t="s">
        <v>102</v>
      </c>
      <c r="E37" s="32" t="s">
        <v>85</v>
      </c>
      <c r="F37" s="33">
        <v>793.1</v>
      </c>
      <c r="G37" s="33">
        <v>180</v>
      </c>
      <c r="H37" s="92"/>
    </row>
    <row r="38" spans="1:8" ht="144.4" customHeight="1" x14ac:dyDescent="0.25">
      <c r="A38" s="13">
        <v>2</v>
      </c>
      <c r="B38" s="6" t="s">
        <v>86</v>
      </c>
      <c r="C38" s="31" t="s">
        <v>87</v>
      </c>
      <c r="D38" s="31" t="s">
        <v>88</v>
      </c>
      <c r="E38" s="32" t="s">
        <v>89</v>
      </c>
      <c r="F38" s="33">
        <v>476.28</v>
      </c>
      <c r="G38" s="33"/>
      <c r="H38" s="92"/>
    </row>
    <row r="39" spans="1:8" ht="34.15" customHeight="1" x14ac:dyDescent="0.25">
      <c r="A39" s="13">
        <v>3</v>
      </c>
      <c r="B39" s="6" t="s">
        <v>90</v>
      </c>
      <c r="C39" s="31" t="s">
        <v>91</v>
      </c>
      <c r="D39" s="31" t="s">
        <v>92</v>
      </c>
      <c r="E39" s="32" t="s">
        <v>93</v>
      </c>
      <c r="F39" s="33">
        <v>71.52</v>
      </c>
      <c r="G39" s="33"/>
      <c r="H39" s="92"/>
    </row>
    <row r="40" spans="1:8" ht="33.6" customHeight="1" x14ac:dyDescent="0.25">
      <c r="A40" s="13">
        <v>4</v>
      </c>
      <c r="B40" s="6" t="s">
        <v>94</v>
      </c>
      <c r="C40" s="31" t="s">
        <v>95</v>
      </c>
      <c r="D40" s="31" t="s">
        <v>96</v>
      </c>
      <c r="E40" s="32" t="s">
        <v>97</v>
      </c>
      <c r="F40" s="33">
        <v>71.52</v>
      </c>
      <c r="G40" s="33"/>
      <c r="H40" s="92"/>
    </row>
    <row r="41" spans="1:8" ht="47.25" customHeight="1" x14ac:dyDescent="0.25">
      <c r="A41" s="13">
        <v>5</v>
      </c>
      <c r="B41" s="6" t="s">
        <v>98</v>
      </c>
      <c r="C41" s="31" t="s">
        <v>99</v>
      </c>
      <c r="D41" s="31" t="s">
        <v>100</v>
      </c>
      <c r="E41" s="32" t="s">
        <v>99</v>
      </c>
      <c r="F41" s="33">
        <v>79.2</v>
      </c>
      <c r="G41" s="33"/>
      <c r="H41" s="93"/>
    </row>
    <row r="42" spans="1:8" ht="21" customHeight="1" x14ac:dyDescent="0.25">
      <c r="A42" s="35" t="s">
        <v>81</v>
      </c>
      <c r="B42" s="36"/>
      <c r="C42" s="36"/>
      <c r="D42" s="36"/>
      <c r="E42" s="36"/>
      <c r="F42" s="37"/>
      <c r="G42" s="37"/>
      <c r="H42" s="91" t="s">
        <v>72</v>
      </c>
    </row>
    <row r="43" spans="1:8" ht="49.15" customHeight="1" x14ac:dyDescent="0.25">
      <c r="A43" s="13">
        <v>1</v>
      </c>
      <c r="B43" s="6" t="s">
        <v>103</v>
      </c>
      <c r="C43" s="31" t="s">
        <v>83</v>
      </c>
      <c r="D43" s="31" t="s">
        <v>104</v>
      </c>
      <c r="E43" s="32" t="s">
        <v>85</v>
      </c>
      <c r="F43" s="33">
        <v>793.1</v>
      </c>
      <c r="G43" s="33">
        <v>180</v>
      </c>
      <c r="H43" s="92"/>
    </row>
    <row r="44" spans="1:8" ht="144.4" customHeight="1" x14ac:dyDescent="0.25">
      <c r="A44" s="13">
        <v>2</v>
      </c>
      <c r="B44" s="6" t="s">
        <v>86</v>
      </c>
      <c r="C44" s="31" t="s">
        <v>87</v>
      </c>
      <c r="D44" s="31" t="s">
        <v>88</v>
      </c>
      <c r="E44" s="32" t="s">
        <v>89</v>
      </c>
      <c r="F44" s="33">
        <v>476.28</v>
      </c>
      <c r="G44" s="33"/>
      <c r="H44" s="92"/>
    </row>
    <row r="45" spans="1:8" ht="34.15" customHeight="1" x14ac:dyDescent="0.25">
      <c r="A45" s="13">
        <v>3</v>
      </c>
      <c r="B45" s="6" t="s">
        <v>90</v>
      </c>
      <c r="C45" s="31" t="s">
        <v>91</v>
      </c>
      <c r="D45" s="31" t="s">
        <v>92</v>
      </c>
      <c r="E45" s="32" t="s">
        <v>93</v>
      </c>
      <c r="F45" s="33">
        <v>71.52</v>
      </c>
      <c r="G45" s="33"/>
      <c r="H45" s="92"/>
    </row>
    <row r="46" spans="1:8" ht="33.6" customHeight="1" x14ac:dyDescent="0.25">
      <c r="A46" s="13">
        <v>4</v>
      </c>
      <c r="B46" s="6" t="s">
        <v>94</v>
      </c>
      <c r="C46" s="31" t="s">
        <v>95</v>
      </c>
      <c r="D46" s="31" t="s">
        <v>96</v>
      </c>
      <c r="E46" s="32" t="s">
        <v>97</v>
      </c>
      <c r="F46" s="33">
        <v>71.52</v>
      </c>
      <c r="G46" s="33"/>
      <c r="H46" s="92"/>
    </row>
    <row r="47" spans="1:8" ht="47.25" customHeight="1" x14ac:dyDescent="0.25">
      <c r="A47" s="13">
        <v>5</v>
      </c>
      <c r="B47" s="6" t="s">
        <v>98</v>
      </c>
      <c r="C47" s="31" t="s">
        <v>99</v>
      </c>
      <c r="D47" s="31" t="s">
        <v>100</v>
      </c>
      <c r="E47" s="32" t="s">
        <v>99</v>
      </c>
      <c r="F47" s="33">
        <v>79.2</v>
      </c>
      <c r="G47" s="33"/>
      <c r="H47" s="93"/>
    </row>
    <row r="48" spans="1:8" ht="21" customHeight="1" x14ac:dyDescent="0.25">
      <c r="A48" s="35" t="s">
        <v>81</v>
      </c>
      <c r="B48" s="36"/>
      <c r="C48" s="36"/>
      <c r="D48" s="36"/>
      <c r="E48" s="36"/>
      <c r="F48" s="37"/>
      <c r="G48" s="37"/>
      <c r="H48" s="91" t="s">
        <v>75</v>
      </c>
    </row>
    <row r="49" spans="1:8" ht="49.15" customHeight="1" x14ac:dyDescent="0.25">
      <c r="A49" s="13">
        <v>1</v>
      </c>
      <c r="B49" s="6" t="s">
        <v>105</v>
      </c>
      <c r="C49" s="31" t="s">
        <v>83</v>
      </c>
      <c r="D49" s="31" t="s">
        <v>106</v>
      </c>
      <c r="E49" s="32" t="s">
        <v>85</v>
      </c>
      <c r="F49" s="33">
        <v>793.1</v>
      </c>
      <c r="G49" s="33">
        <v>180</v>
      </c>
      <c r="H49" s="92"/>
    </row>
    <row r="50" spans="1:8" ht="144.4" customHeight="1" x14ac:dyDescent="0.25">
      <c r="A50" s="13">
        <v>2</v>
      </c>
      <c r="B50" s="6" t="s">
        <v>86</v>
      </c>
      <c r="C50" s="31" t="s">
        <v>87</v>
      </c>
      <c r="D50" s="31" t="s">
        <v>88</v>
      </c>
      <c r="E50" s="32" t="s">
        <v>89</v>
      </c>
      <c r="F50" s="33">
        <v>476.28</v>
      </c>
      <c r="G50" s="33"/>
      <c r="H50" s="92"/>
    </row>
    <row r="51" spans="1:8" ht="34.15" customHeight="1" x14ac:dyDescent="0.25">
      <c r="A51" s="13">
        <v>3</v>
      </c>
      <c r="B51" s="6" t="s">
        <v>90</v>
      </c>
      <c r="C51" s="31" t="s">
        <v>91</v>
      </c>
      <c r="D51" s="31" t="s">
        <v>92</v>
      </c>
      <c r="E51" s="32" t="s">
        <v>93</v>
      </c>
      <c r="F51" s="33">
        <v>71.52</v>
      </c>
      <c r="G51" s="33"/>
      <c r="H51" s="92"/>
    </row>
    <row r="52" spans="1:8" ht="33.6" customHeight="1" x14ac:dyDescent="0.25">
      <c r="A52" s="13">
        <v>4</v>
      </c>
      <c r="B52" s="6" t="s">
        <v>94</v>
      </c>
      <c r="C52" s="31" t="s">
        <v>95</v>
      </c>
      <c r="D52" s="31" t="s">
        <v>96</v>
      </c>
      <c r="E52" s="32" t="s">
        <v>97</v>
      </c>
      <c r="F52" s="33">
        <v>71.52</v>
      </c>
      <c r="G52" s="33"/>
      <c r="H52" s="92"/>
    </row>
    <row r="53" spans="1:8" ht="47.25" customHeight="1" x14ac:dyDescent="0.25">
      <c r="A53" s="13">
        <v>5</v>
      </c>
      <c r="B53" s="6" t="s">
        <v>98</v>
      </c>
      <c r="C53" s="31" t="s">
        <v>99</v>
      </c>
      <c r="D53" s="31" t="s">
        <v>100</v>
      </c>
      <c r="E53" s="32" t="s">
        <v>99</v>
      </c>
      <c r="F53" s="33">
        <v>79.2</v>
      </c>
      <c r="G53" s="33"/>
      <c r="H53" s="93"/>
    </row>
    <row r="54" spans="1:8" ht="21" customHeight="1" x14ac:dyDescent="0.25">
      <c r="A54" s="35" t="s">
        <v>81</v>
      </c>
      <c r="B54" s="36"/>
      <c r="C54" s="36"/>
      <c r="D54" s="36"/>
      <c r="E54" s="36"/>
      <c r="F54" s="37"/>
      <c r="G54" s="37"/>
      <c r="H54" s="91" t="s">
        <v>78</v>
      </c>
    </row>
    <row r="55" spans="1:8" ht="49.15" customHeight="1" x14ac:dyDescent="0.25">
      <c r="A55" s="13">
        <v>1</v>
      </c>
      <c r="B55" s="6" t="s">
        <v>107</v>
      </c>
      <c r="C55" s="31" t="s">
        <v>83</v>
      </c>
      <c r="D55" s="31" t="s">
        <v>108</v>
      </c>
      <c r="E55" s="32" t="s">
        <v>85</v>
      </c>
      <c r="F55" s="33">
        <v>793.1</v>
      </c>
      <c r="G55" s="33">
        <v>180</v>
      </c>
      <c r="H55" s="92"/>
    </row>
    <row r="56" spans="1:8" ht="144.4" customHeight="1" x14ac:dyDescent="0.25">
      <c r="A56" s="13">
        <v>2</v>
      </c>
      <c r="B56" s="6" t="s">
        <v>86</v>
      </c>
      <c r="C56" s="31" t="s">
        <v>87</v>
      </c>
      <c r="D56" s="31" t="s">
        <v>88</v>
      </c>
      <c r="E56" s="32" t="s">
        <v>89</v>
      </c>
      <c r="F56" s="33">
        <v>476.28</v>
      </c>
      <c r="G56" s="33"/>
      <c r="H56" s="92"/>
    </row>
    <row r="57" spans="1:8" ht="34.15" customHeight="1" x14ac:dyDescent="0.25">
      <c r="A57" s="13">
        <v>3</v>
      </c>
      <c r="B57" s="6" t="s">
        <v>90</v>
      </c>
      <c r="C57" s="31" t="s">
        <v>91</v>
      </c>
      <c r="D57" s="31" t="s">
        <v>92</v>
      </c>
      <c r="E57" s="32" t="s">
        <v>93</v>
      </c>
      <c r="F57" s="33">
        <v>71.52</v>
      </c>
      <c r="G57" s="33"/>
      <c r="H57" s="92"/>
    </row>
    <row r="58" spans="1:8" ht="33.6" customHeight="1" x14ac:dyDescent="0.25">
      <c r="A58" s="13">
        <v>4</v>
      </c>
      <c r="B58" s="6" t="s">
        <v>94</v>
      </c>
      <c r="C58" s="31" t="s">
        <v>95</v>
      </c>
      <c r="D58" s="31" t="s">
        <v>96</v>
      </c>
      <c r="E58" s="32" t="s">
        <v>97</v>
      </c>
      <c r="F58" s="33">
        <v>71.52</v>
      </c>
      <c r="G58" s="33"/>
      <c r="H58" s="92"/>
    </row>
    <row r="59" spans="1:8" ht="47.25" customHeight="1" x14ac:dyDescent="0.25">
      <c r="A59" s="13">
        <v>5</v>
      </c>
      <c r="B59" s="6" t="s">
        <v>98</v>
      </c>
      <c r="C59" s="31" t="s">
        <v>99</v>
      </c>
      <c r="D59" s="31" t="s">
        <v>100</v>
      </c>
      <c r="E59" s="32" t="s">
        <v>99</v>
      </c>
      <c r="F59" s="33">
        <v>79.2</v>
      </c>
      <c r="G59" s="33"/>
      <c r="H59" s="93"/>
    </row>
    <row r="60" spans="1:8" ht="29.25" customHeight="1" x14ac:dyDescent="0.25">
      <c r="A60" s="38" t="s">
        <v>109</v>
      </c>
      <c r="B60" s="39"/>
      <c r="C60" s="39"/>
      <c r="D60" s="39"/>
      <c r="E60" s="39"/>
      <c r="F60" s="40"/>
      <c r="G60" s="40"/>
      <c r="H60" s="91" t="s">
        <v>52</v>
      </c>
    </row>
    <row r="61" spans="1:8" ht="70.349999999999994" customHeight="1" x14ac:dyDescent="0.25">
      <c r="A61" s="13">
        <v>1</v>
      </c>
      <c r="B61" s="6" t="s">
        <v>110</v>
      </c>
      <c r="C61" s="31" t="s">
        <v>111</v>
      </c>
      <c r="D61" s="31" t="s">
        <v>112</v>
      </c>
      <c r="E61" s="32" t="s">
        <v>113</v>
      </c>
      <c r="F61" s="33">
        <v>1011.45</v>
      </c>
      <c r="G61" s="33">
        <v>180</v>
      </c>
      <c r="H61" s="92"/>
    </row>
    <row r="62" spans="1:8" ht="154.35" customHeight="1" x14ac:dyDescent="0.25">
      <c r="A62" s="13">
        <v>2</v>
      </c>
      <c r="B62" s="6" t="s">
        <v>114</v>
      </c>
      <c r="C62" s="31" t="s">
        <v>115</v>
      </c>
      <c r="D62" s="31" t="s">
        <v>116</v>
      </c>
      <c r="E62" s="32" t="s">
        <v>117</v>
      </c>
      <c r="F62" s="33">
        <v>634.08000000000004</v>
      </c>
      <c r="G62" s="33"/>
      <c r="H62" s="92"/>
    </row>
    <row r="63" spans="1:8" ht="119.1" customHeight="1" x14ac:dyDescent="0.25">
      <c r="A63" s="13">
        <v>3</v>
      </c>
      <c r="B63" s="6" t="s">
        <v>118</v>
      </c>
      <c r="C63" s="31" t="s">
        <v>119</v>
      </c>
      <c r="D63" s="31" t="s">
        <v>120</v>
      </c>
      <c r="E63" s="32" t="s">
        <v>121</v>
      </c>
      <c r="F63" s="33">
        <v>487.92</v>
      </c>
      <c r="G63" s="33"/>
      <c r="H63" s="92"/>
    </row>
    <row r="64" spans="1:8" ht="34.15" customHeight="1" x14ac:dyDescent="0.25">
      <c r="A64" s="13">
        <v>4</v>
      </c>
      <c r="B64" s="6" t="s">
        <v>122</v>
      </c>
      <c r="C64" s="31" t="s">
        <v>123</v>
      </c>
      <c r="D64" s="31" t="s">
        <v>124</v>
      </c>
      <c r="E64" s="32" t="s">
        <v>125</v>
      </c>
      <c r="F64" s="33">
        <v>96.24</v>
      </c>
      <c r="G64" s="33"/>
      <c r="H64" s="92"/>
    </row>
    <row r="65" spans="1:8" ht="35.450000000000003" customHeight="1" x14ac:dyDescent="0.25">
      <c r="A65" s="13">
        <v>5</v>
      </c>
      <c r="B65" s="6" t="s">
        <v>126</v>
      </c>
      <c r="C65" s="31" t="s">
        <v>127</v>
      </c>
      <c r="D65" s="31" t="s">
        <v>128</v>
      </c>
      <c r="E65" s="32" t="s">
        <v>129</v>
      </c>
      <c r="F65" s="33">
        <v>96.24</v>
      </c>
      <c r="G65" s="33"/>
      <c r="H65" s="92"/>
    </row>
    <row r="66" spans="1:8" ht="47.25" customHeight="1" x14ac:dyDescent="0.25">
      <c r="A66" s="13">
        <v>6</v>
      </c>
      <c r="B66" s="6" t="s">
        <v>130</v>
      </c>
      <c r="C66" s="31" t="s">
        <v>99</v>
      </c>
      <c r="D66" s="31" t="s">
        <v>131</v>
      </c>
      <c r="E66" s="32" t="s">
        <v>99</v>
      </c>
      <c r="F66" s="33">
        <v>100.68</v>
      </c>
      <c r="G66" s="33"/>
      <c r="H66" s="93"/>
    </row>
    <row r="67" spans="1:8" ht="29.25" customHeight="1" x14ac:dyDescent="0.25">
      <c r="A67" s="38" t="s">
        <v>109</v>
      </c>
      <c r="B67" s="39"/>
      <c r="C67" s="39"/>
      <c r="D67" s="39"/>
      <c r="E67" s="39"/>
      <c r="F67" s="40"/>
      <c r="G67" s="40"/>
      <c r="H67" s="91" t="s">
        <v>69</v>
      </c>
    </row>
    <row r="68" spans="1:8" ht="70.349999999999994" customHeight="1" x14ac:dyDescent="0.25">
      <c r="A68" s="13">
        <v>1</v>
      </c>
      <c r="B68" s="6" t="s">
        <v>132</v>
      </c>
      <c r="C68" s="31" t="s">
        <v>111</v>
      </c>
      <c r="D68" s="31" t="s">
        <v>133</v>
      </c>
      <c r="E68" s="32" t="s">
        <v>113</v>
      </c>
      <c r="F68" s="33">
        <v>1011.45</v>
      </c>
      <c r="G68" s="33">
        <v>180</v>
      </c>
      <c r="H68" s="92"/>
    </row>
    <row r="69" spans="1:8" ht="154.35" customHeight="1" x14ac:dyDescent="0.25">
      <c r="A69" s="13">
        <v>2</v>
      </c>
      <c r="B69" s="6" t="s">
        <v>114</v>
      </c>
      <c r="C69" s="31" t="s">
        <v>115</v>
      </c>
      <c r="D69" s="31" t="s">
        <v>116</v>
      </c>
      <c r="E69" s="32" t="s">
        <v>117</v>
      </c>
      <c r="F69" s="33">
        <v>634.08000000000004</v>
      </c>
      <c r="G69" s="33"/>
      <c r="H69" s="92"/>
    </row>
    <row r="70" spans="1:8" ht="119.1" customHeight="1" x14ac:dyDescent="0.25">
      <c r="A70" s="13">
        <v>3</v>
      </c>
      <c r="B70" s="6" t="s">
        <v>118</v>
      </c>
      <c r="C70" s="31" t="s">
        <v>119</v>
      </c>
      <c r="D70" s="31" t="s">
        <v>120</v>
      </c>
      <c r="E70" s="32" t="s">
        <v>121</v>
      </c>
      <c r="F70" s="33">
        <v>487.92</v>
      </c>
      <c r="G70" s="33"/>
      <c r="H70" s="92"/>
    </row>
    <row r="71" spans="1:8" ht="34.15" customHeight="1" x14ac:dyDescent="0.25">
      <c r="A71" s="13">
        <v>4</v>
      </c>
      <c r="B71" s="6" t="s">
        <v>122</v>
      </c>
      <c r="C71" s="31" t="s">
        <v>123</v>
      </c>
      <c r="D71" s="31" t="s">
        <v>124</v>
      </c>
      <c r="E71" s="32" t="s">
        <v>125</v>
      </c>
      <c r="F71" s="33">
        <v>96.24</v>
      </c>
      <c r="G71" s="33"/>
      <c r="H71" s="92"/>
    </row>
    <row r="72" spans="1:8" ht="35.450000000000003" customHeight="1" x14ac:dyDescent="0.25">
      <c r="A72" s="13">
        <v>5</v>
      </c>
      <c r="B72" s="6" t="s">
        <v>126</v>
      </c>
      <c r="C72" s="31" t="s">
        <v>127</v>
      </c>
      <c r="D72" s="31" t="s">
        <v>128</v>
      </c>
      <c r="E72" s="32" t="s">
        <v>129</v>
      </c>
      <c r="F72" s="33">
        <v>96.24</v>
      </c>
      <c r="G72" s="33"/>
      <c r="H72" s="92"/>
    </row>
    <row r="73" spans="1:8" ht="47.25" customHeight="1" x14ac:dyDescent="0.25">
      <c r="A73" s="13">
        <v>6</v>
      </c>
      <c r="B73" s="6" t="s">
        <v>130</v>
      </c>
      <c r="C73" s="31" t="s">
        <v>99</v>
      </c>
      <c r="D73" s="31" t="s">
        <v>131</v>
      </c>
      <c r="E73" s="32" t="s">
        <v>99</v>
      </c>
      <c r="F73" s="33">
        <v>100.68</v>
      </c>
      <c r="G73" s="33"/>
      <c r="H73" s="93"/>
    </row>
    <row r="74" spans="1:8" ht="29.25" customHeight="1" x14ac:dyDescent="0.25">
      <c r="A74" s="38" t="s">
        <v>109</v>
      </c>
      <c r="B74" s="39"/>
      <c r="C74" s="39"/>
      <c r="D74" s="39"/>
      <c r="E74" s="39"/>
      <c r="F74" s="40"/>
      <c r="G74" s="40"/>
      <c r="H74" s="91" t="s">
        <v>72</v>
      </c>
    </row>
    <row r="75" spans="1:8" ht="70.349999999999994" customHeight="1" x14ac:dyDescent="0.25">
      <c r="A75" s="13">
        <v>1</v>
      </c>
      <c r="B75" s="6" t="s">
        <v>134</v>
      </c>
      <c r="C75" s="31" t="s">
        <v>111</v>
      </c>
      <c r="D75" s="31" t="s">
        <v>135</v>
      </c>
      <c r="E75" s="32" t="s">
        <v>113</v>
      </c>
      <c r="F75" s="33">
        <v>1011.45</v>
      </c>
      <c r="G75" s="33">
        <v>180</v>
      </c>
      <c r="H75" s="92"/>
    </row>
    <row r="76" spans="1:8" ht="154.35" customHeight="1" x14ac:dyDescent="0.25">
      <c r="A76" s="13">
        <v>2</v>
      </c>
      <c r="B76" s="6" t="s">
        <v>114</v>
      </c>
      <c r="C76" s="31" t="s">
        <v>115</v>
      </c>
      <c r="D76" s="31" t="s">
        <v>116</v>
      </c>
      <c r="E76" s="32" t="s">
        <v>117</v>
      </c>
      <c r="F76" s="33">
        <v>634.08000000000004</v>
      </c>
      <c r="G76" s="33"/>
      <c r="H76" s="92"/>
    </row>
    <row r="77" spans="1:8" ht="119.1" customHeight="1" x14ac:dyDescent="0.25">
      <c r="A77" s="13">
        <v>3</v>
      </c>
      <c r="B77" s="6" t="s">
        <v>118</v>
      </c>
      <c r="C77" s="31" t="s">
        <v>119</v>
      </c>
      <c r="D77" s="31" t="s">
        <v>120</v>
      </c>
      <c r="E77" s="32" t="s">
        <v>121</v>
      </c>
      <c r="F77" s="33">
        <v>487.92</v>
      </c>
      <c r="G77" s="33"/>
      <c r="H77" s="92"/>
    </row>
    <row r="78" spans="1:8" ht="34.15" customHeight="1" x14ac:dyDescent="0.25">
      <c r="A78" s="13">
        <v>4</v>
      </c>
      <c r="B78" s="6" t="s">
        <v>122</v>
      </c>
      <c r="C78" s="31" t="s">
        <v>123</v>
      </c>
      <c r="D78" s="31" t="s">
        <v>124</v>
      </c>
      <c r="E78" s="32" t="s">
        <v>125</v>
      </c>
      <c r="F78" s="33">
        <v>96.24</v>
      </c>
      <c r="G78" s="33"/>
      <c r="H78" s="92"/>
    </row>
    <row r="79" spans="1:8" ht="35.450000000000003" customHeight="1" x14ac:dyDescent="0.25">
      <c r="A79" s="13">
        <v>5</v>
      </c>
      <c r="B79" s="6" t="s">
        <v>126</v>
      </c>
      <c r="C79" s="31" t="s">
        <v>127</v>
      </c>
      <c r="D79" s="31" t="s">
        <v>128</v>
      </c>
      <c r="E79" s="32" t="s">
        <v>129</v>
      </c>
      <c r="F79" s="33">
        <v>96.24</v>
      </c>
      <c r="G79" s="33"/>
      <c r="H79" s="92"/>
    </row>
    <row r="80" spans="1:8" ht="47.25" customHeight="1" x14ac:dyDescent="0.25">
      <c r="A80" s="13">
        <v>6</v>
      </c>
      <c r="B80" s="6" t="s">
        <v>130</v>
      </c>
      <c r="C80" s="31" t="s">
        <v>99</v>
      </c>
      <c r="D80" s="31" t="s">
        <v>131</v>
      </c>
      <c r="E80" s="32" t="s">
        <v>99</v>
      </c>
      <c r="F80" s="33">
        <v>100.68</v>
      </c>
      <c r="G80" s="33"/>
      <c r="H80" s="93"/>
    </row>
    <row r="81" spans="1:8" ht="29.25" customHeight="1" x14ac:dyDescent="0.25">
      <c r="A81" s="38" t="s">
        <v>109</v>
      </c>
      <c r="B81" s="39"/>
      <c r="C81" s="39"/>
      <c r="D81" s="39"/>
      <c r="E81" s="39"/>
      <c r="F81" s="40"/>
      <c r="G81" s="40"/>
      <c r="H81" s="91" t="s">
        <v>75</v>
      </c>
    </row>
    <row r="82" spans="1:8" ht="70.349999999999994" customHeight="1" x14ac:dyDescent="0.25">
      <c r="A82" s="13">
        <v>1</v>
      </c>
      <c r="B82" s="6" t="s">
        <v>136</v>
      </c>
      <c r="C82" s="31" t="s">
        <v>111</v>
      </c>
      <c r="D82" s="31" t="s">
        <v>137</v>
      </c>
      <c r="E82" s="32" t="s">
        <v>113</v>
      </c>
      <c r="F82" s="33">
        <v>1011.45</v>
      </c>
      <c r="G82" s="33">
        <v>180</v>
      </c>
      <c r="H82" s="92"/>
    </row>
    <row r="83" spans="1:8" ht="154.35" customHeight="1" x14ac:dyDescent="0.25">
      <c r="A83" s="13">
        <v>2</v>
      </c>
      <c r="B83" s="6" t="s">
        <v>114</v>
      </c>
      <c r="C83" s="31" t="s">
        <v>115</v>
      </c>
      <c r="D83" s="31" t="s">
        <v>116</v>
      </c>
      <c r="E83" s="32" t="s">
        <v>117</v>
      </c>
      <c r="F83" s="33">
        <v>634.08000000000004</v>
      </c>
      <c r="G83" s="33"/>
      <c r="H83" s="92"/>
    </row>
    <row r="84" spans="1:8" ht="119.1" customHeight="1" x14ac:dyDescent="0.25">
      <c r="A84" s="13">
        <v>3</v>
      </c>
      <c r="B84" s="6" t="s">
        <v>118</v>
      </c>
      <c r="C84" s="31" t="s">
        <v>119</v>
      </c>
      <c r="D84" s="31" t="s">
        <v>120</v>
      </c>
      <c r="E84" s="32" t="s">
        <v>121</v>
      </c>
      <c r="F84" s="33">
        <v>487.92</v>
      </c>
      <c r="G84" s="33"/>
      <c r="H84" s="92"/>
    </row>
    <row r="85" spans="1:8" ht="34.15" customHeight="1" x14ac:dyDescent="0.25">
      <c r="A85" s="13">
        <v>4</v>
      </c>
      <c r="B85" s="6" t="s">
        <v>122</v>
      </c>
      <c r="C85" s="31" t="s">
        <v>123</v>
      </c>
      <c r="D85" s="31" t="s">
        <v>124</v>
      </c>
      <c r="E85" s="32" t="s">
        <v>125</v>
      </c>
      <c r="F85" s="33">
        <v>96.24</v>
      </c>
      <c r="G85" s="33"/>
      <c r="H85" s="92"/>
    </row>
    <row r="86" spans="1:8" ht="35.450000000000003" customHeight="1" x14ac:dyDescent="0.25">
      <c r="A86" s="13">
        <v>5</v>
      </c>
      <c r="B86" s="6" t="s">
        <v>126</v>
      </c>
      <c r="C86" s="31" t="s">
        <v>127</v>
      </c>
      <c r="D86" s="31" t="s">
        <v>128</v>
      </c>
      <c r="E86" s="32" t="s">
        <v>129</v>
      </c>
      <c r="F86" s="33">
        <v>96.24</v>
      </c>
      <c r="G86" s="33"/>
      <c r="H86" s="92"/>
    </row>
    <row r="87" spans="1:8" ht="47.25" customHeight="1" x14ac:dyDescent="0.25">
      <c r="A87" s="13">
        <v>6</v>
      </c>
      <c r="B87" s="6" t="s">
        <v>130</v>
      </c>
      <c r="C87" s="31" t="s">
        <v>99</v>
      </c>
      <c r="D87" s="31" t="s">
        <v>131</v>
      </c>
      <c r="E87" s="32" t="s">
        <v>99</v>
      </c>
      <c r="F87" s="33">
        <v>100.68</v>
      </c>
      <c r="G87" s="33"/>
      <c r="H87" s="93"/>
    </row>
    <row r="88" spans="1:8" ht="29.25" customHeight="1" x14ac:dyDescent="0.25">
      <c r="A88" s="38" t="s">
        <v>109</v>
      </c>
      <c r="B88" s="39"/>
      <c r="C88" s="39"/>
      <c r="D88" s="39"/>
      <c r="E88" s="39"/>
      <c r="F88" s="40"/>
      <c r="G88" s="40"/>
      <c r="H88" s="91" t="s">
        <v>78</v>
      </c>
    </row>
    <row r="89" spans="1:8" ht="70.349999999999994" customHeight="1" x14ac:dyDescent="0.25">
      <c r="A89" s="13">
        <v>1</v>
      </c>
      <c r="B89" s="6" t="s">
        <v>138</v>
      </c>
      <c r="C89" s="31" t="s">
        <v>111</v>
      </c>
      <c r="D89" s="31" t="s">
        <v>139</v>
      </c>
      <c r="E89" s="32" t="s">
        <v>113</v>
      </c>
      <c r="F89" s="33">
        <v>1011.45</v>
      </c>
      <c r="G89" s="33">
        <v>180</v>
      </c>
      <c r="H89" s="92"/>
    </row>
    <row r="90" spans="1:8" ht="154.35" customHeight="1" x14ac:dyDescent="0.25">
      <c r="A90" s="13">
        <v>2</v>
      </c>
      <c r="B90" s="6" t="s">
        <v>114</v>
      </c>
      <c r="C90" s="31" t="s">
        <v>115</v>
      </c>
      <c r="D90" s="31" t="s">
        <v>116</v>
      </c>
      <c r="E90" s="32" t="s">
        <v>117</v>
      </c>
      <c r="F90" s="33">
        <v>634.08000000000004</v>
      </c>
      <c r="G90" s="33"/>
      <c r="H90" s="92"/>
    </row>
    <row r="91" spans="1:8" ht="119.1" customHeight="1" x14ac:dyDescent="0.25">
      <c r="A91" s="13">
        <v>3</v>
      </c>
      <c r="B91" s="6" t="s">
        <v>118</v>
      </c>
      <c r="C91" s="31" t="s">
        <v>119</v>
      </c>
      <c r="D91" s="31" t="s">
        <v>120</v>
      </c>
      <c r="E91" s="32" t="s">
        <v>121</v>
      </c>
      <c r="F91" s="33">
        <v>487.92</v>
      </c>
      <c r="G91" s="33"/>
      <c r="H91" s="92"/>
    </row>
    <row r="92" spans="1:8" ht="34.15" customHeight="1" x14ac:dyDescent="0.25">
      <c r="A92" s="13">
        <v>4</v>
      </c>
      <c r="B92" s="6" t="s">
        <v>122</v>
      </c>
      <c r="C92" s="31" t="s">
        <v>123</v>
      </c>
      <c r="D92" s="31" t="s">
        <v>124</v>
      </c>
      <c r="E92" s="32" t="s">
        <v>125</v>
      </c>
      <c r="F92" s="33">
        <v>96.24</v>
      </c>
      <c r="G92" s="33"/>
      <c r="H92" s="92"/>
    </row>
    <row r="93" spans="1:8" ht="35.450000000000003" customHeight="1" x14ac:dyDescent="0.25">
      <c r="A93" s="13">
        <v>5</v>
      </c>
      <c r="B93" s="6" t="s">
        <v>126</v>
      </c>
      <c r="C93" s="31" t="s">
        <v>127</v>
      </c>
      <c r="D93" s="31" t="s">
        <v>128</v>
      </c>
      <c r="E93" s="32" t="s">
        <v>129</v>
      </c>
      <c r="F93" s="33">
        <v>96.24</v>
      </c>
      <c r="G93" s="33"/>
      <c r="H93" s="92"/>
    </row>
    <row r="94" spans="1:8" ht="47.25" customHeight="1" x14ac:dyDescent="0.25">
      <c r="A94" s="13">
        <v>6</v>
      </c>
      <c r="B94" s="6" t="s">
        <v>130</v>
      </c>
      <c r="C94" s="31" t="s">
        <v>99</v>
      </c>
      <c r="D94" s="31" t="s">
        <v>131</v>
      </c>
      <c r="E94" s="32" t="s">
        <v>99</v>
      </c>
      <c r="F94" s="33">
        <v>100.68</v>
      </c>
      <c r="G94" s="33"/>
      <c r="H94" s="93"/>
    </row>
    <row r="95" spans="1:8" ht="23.45" customHeight="1" x14ac:dyDescent="0.25">
      <c r="A95" s="35" t="s">
        <v>140</v>
      </c>
      <c r="B95" s="36"/>
      <c r="C95" s="36"/>
      <c r="D95" s="36"/>
      <c r="E95" s="36"/>
      <c r="F95" s="37"/>
      <c r="G95" s="37"/>
      <c r="H95" s="91" t="s">
        <v>52</v>
      </c>
    </row>
    <row r="96" spans="1:8" ht="51.4" customHeight="1" x14ac:dyDescent="0.25">
      <c r="A96" s="13">
        <v>1</v>
      </c>
      <c r="B96" s="6" t="s">
        <v>141</v>
      </c>
      <c r="C96" s="31" t="s">
        <v>142</v>
      </c>
      <c r="D96" s="31" t="s">
        <v>143</v>
      </c>
      <c r="E96" s="32" t="s">
        <v>144</v>
      </c>
      <c r="F96" s="33">
        <v>1375</v>
      </c>
      <c r="G96" s="33">
        <v>180</v>
      </c>
      <c r="H96" s="92"/>
    </row>
    <row r="97" spans="1:8" ht="137.1" customHeight="1" x14ac:dyDescent="0.25">
      <c r="A97" s="13">
        <v>2</v>
      </c>
      <c r="B97" s="6" t="s">
        <v>145</v>
      </c>
      <c r="C97" s="31" t="s">
        <v>146</v>
      </c>
      <c r="D97" s="31" t="s">
        <v>147</v>
      </c>
      <c r="E97" s="32" t="s">
        <v>148</v>
      </c>
      <c r="F97" s="33">
        <v>843.24</v>
      </c>
      <c r="G97" s="33"/>
      <c r="H97" s="92"/>
    </row>
    <row r="98" spans="1:8" ht="33.200000000000003" customHeight="1" x14ac:dyDescent="0.25">
      <c r="A98" s="13">
        <v>3</v>
      </c>
      <c r="B98" s="6" t="s">
        <v>149</v>
      </c>
      <c r="C98" s="31" t="s">
        <v>150</v>
      </c>
      <c r="D98" s="31" t="s">
        <v>151</v>
      </c>
      <c r="E98" s="32" t="s">
        <v>152</v>
      </c>
      <c r="F98" s="33">
        <v>127.08</v>
      </c>
      <c r="G98" s="33"/>
      <c r="H98" s="92"/>
    </row>
    <row r="99" spans="1:8" ht="119.1" customHeight="1" x14ac:dyDescent="0.25">
      <c r="A99" s="13">
        <v>4</v>
      </c>
      <c r="B99" s="6" t="s">
        <v>153</v>
      </c>
      <c r="C99" s="31" t="s">
        <v>154</v>
      </c>
      <c r="D99" s="31" t="s">
        <v>155</v>
      </c>
      <c r="E99" s="32" t="s">
        <v>156</v>
      </c>
      <c r="F99" s="33">
        <v>649.08000000000004</v>
      </c>
      <c r="G99" s="33"/>
      <c r="H99" s="92"/>
    </row>
    <row r="100" spans="1:8" ht="35.65" customHeight="1" x14ac:dyDescent="0.25">
      <c r="A100" s="13">
        <v>5</v>
      </c>
      <c r="B100" s="6" t="s">
        <v>157</v>
      </c>
      <c r="C100" s="31" t="s">
        <v>158</v>
      </c>
      <c r="D100" s="31" t="s">
        <v>159</v>
      </c>
      <c r="E100" s="32" t="s">
        <v>160</v>
      </c>
      <c r="F100" s="33">
        <v>127.08</v>
      </c>
      <c r="G100" s="33"/>
      <c r="H100" s="92"/>
    </row>
    <row r="101" spans="1:8" ht="47.25" customHeight="1" x14ac:dyDescent="0.25">
      <c r="A101" s="13">
        <v>6</v>
      </c>
      <c r="B101" s="6" t="s">
        <v>161</v>
      </c>
      <c r="C101" s="31" t="s">
        <v>99</v>
      </c>
      <c r="D101" s="31" t="s">
        <v>162</v>
      </c>
      <c r="E101" s="32" t="s">
        <v>99</v>
      </c>
      <c r="F101" s="33">
        <v>137.04</v>
      </c>
      <c r="G101" s="33"/>
      <c r="H101" s="93"/>
    </row>
    <row r="102" spans="1:8" ht="23.45" customHeight="1" x14ac:dyDescent="0.25">
      <c r="A102" s="35" t="s">
        <v>140</v>
      </c>
      <c r="B102" s="36"/>
      <c r="C102" s="36"/>
      <c r="D102" s="36"/>
      <c r="E102" s="36"/>
      <c r="F102" s="37"/>
      <c r="G102" s="37"/>
      <c r="H102" s="91" t="s">
        <v>69</v>
      </c>
    </row>
    <row r="103" spans="1:8" ht="51.4" customHeight="1" x14ac:dyDescent="0.25">
      <c r="A103" s="13">
        <v>1</v>
      </c>
      <c r="B103" s="6" t="s">
        <v>163</v>
      </c>
      <c r="C103" s="31" t="s">
        <v>142</v>
      </c>
      <c r="D103" s="31" t="s">
        <v>164</v>
      </c>
      <c r="E103" s="32" t="s">
        <v>144</v>
      </c>
      <c r="F103" s="33">
        <v>1375</v>
      </c>
      <c r="G103" s="33">
        <v>180</v>
      </c>
      <c r="H103" s="92"/>
    </row>
    <row r="104" spans="1:8" ht="137.1" customHeight="1" x14ac:dyDescent="0.25">
      <c r="A104" s="13">
        <v>2</v>
      </c>
      <c r="B104" s="6" t="s">
        <v>145</v>
      </c>
      <c r="C104" s="31" t="s">
        <v>146</v>
      </c>
      <c r="D104" s="31" t="s">
        <v>147</v>
      </c>
      <c r="E104" s="32" t="s">
        <v>148</v>
      </c>
      <c r="F104" s="33">
        <v>843.24</v>
      </c>
      <c r="G104" s="33"/>
      <c r="H104" s="92"/>
    </row>
    <row r="105" spans="1:8" ht="33.200000000000003" customHeight="1" x14ac:dyDescent="0.25">
      <c r="A105" s="13">
        <v>3</v>
      </c>
      <c r="B105" s="6" t="s">
        <v>149</v>
      </c>
      <c r="C105" s="31" t="s">
        <v>150</v>
      </c>
      <c r="D105" s="31" t="s">
        <v>151</v>
      </c>
      <c r="E105" s="32" t="s">
        <v>152</v>
      </c>
      <c r="F105" s="33">
        <v>127.08</v>
      </c>
      <c r="G105" s="33"/>
      <c r="H105" s="92"/>
    </row>
    <row r="106" spans="1:8" ht="119.1" customHeight="1" x14ac:dyDescent="0.25">
      <c r="A106" s="13">
        <v>4</v>
      </c>
      <c r="B106" s="6" t="s">
        <v>153</v>
      </c>
      <c r="C106" s="31" t="s">
        <v>154</v>
      </c>
      <c r="D106" s="31" t="s">
        <v>155</v>
      </c>
      <c r="E106" s="32" t="s">
        <v>156</v>
      </c>
      <c r="F106" s="33">
        <v>649.08000000000004</v>
      </c>
      <c r="G106" s="33"/>
      <c r="H106" s="92"/>
    </row>
    <row r="107" spans="1:8" ht="35.65" customHeight="1" x14ac:dyDescent="0.25">
      <c r="A107" s="13">
        <v>5</v>
      </c>
      <c r="B107" s="6" t="s">
        <v>157</v>
      </c>
      <c r="C107" s="31" t="s">
        <v>158</v>
      </c>
      <c r="D107" s="31" t="s">
        <v>159</v>
      </c>
      <c r="E107" s="32" t="s">
        <v>160</v>
      </c>
      <c r="F107" s="33">
        <v>127.08</v>
      </c>
      <c r="G107" s="33"/>
      <c r="H107" s="92"/>
    </row>
    <row r="108" spans="1:8" ht="47.25" customHeight="1" x14ac:dyDescent="0.25">
      <c r="A108" s="13">
        <v>6</v>
      </c>
      <c r="B108" s="6" t="s">
        <v>161</v>
      </c>
      <c r="C108" s="31" t="s">
        <v>99</v>
      </c>
      <c r="D108" s="31" t="s">
        <v>162</v>
      </c>
      <c r="E108" s="32" t="s">
        <v>99</v>
      </c>
      <c r="F108" s="33">
        <v>137.04</v>
      </c>
      <c r="G108" s="33"/>
      <c r="H108" s="93"/>
    </row>
    <row r="109" spans="1:8" ht="23.45" customHeight="1" x14ac:dyDescent="0.25">
      <c r="A109" s="35" t="s">
        <v>140</v>
      </c>
      <c r="B109" s="36"/>
      <c r="C109" s="36"/>
      <c r="D109" s="36"/>
      <c r="E109" s="36"/>
      <c r="F109" s="37"/>
      <c r="G109" s="37"/>
      <c r="H109" s="91" t="s">
        <v>72</v>
      </c>
    </row>
    <row r="110" spans="1:8" ht="51.4" customHeight="1" x14ac:dyDescent="0.25">
      <c r="A110" s="13">
        <v>1</v>
      </c>
      <c r="B110" s="6" t="s">
        <v>165</v>
      </c>
      <c r="C110" s="31" t="s">
        <v>142</v>
      </c>
      <c r="D110" s="31" t="s">
        <v>166</v>
      </c>
      <c r="E110" s="32" t="s">
        <v>144</v>
      </c>
      <c r="F110" s="33">
        <v>1375</v>
      </c>
      <c r="G110" s="33">
        <v>180</v>
      </c>
      <c r="H110" s="92"/>
    </row>
    <row r="111" spans="1:8" ht="137.1" customHeight="1" x14ac:dyDescent="0.25">
      <c r="A111" s="13">
        <v>2</v>
      </c>
      <c r="B111" s="6" t="s">
        <v>145</v>
      </c>
      <c r="C111" s="31" t="s">
        <v>146</v>
      </c>
      <c r="D111" s="31" t="s">
        <v>147</v>
      </c>
      <c r="E111" s="32" t="s">
        <v>148</v>
      </c>
      <c r="F111" s="33">
        <v>843.24</v>
      </c>
      <c r="G111" s="33"/>
      <c r="H111" s="92"/>
    </row>
    <row r="112" spans="1:8" ht="33.200000000000003" customHeight="1" x14ac:dyDescent="0.25">
      <c r="A112" s="13">
        <v>3</v>
      </c>
      <c r="B112" s="6" t="s">
        <v>149</v>
      </c>
      <c r="C112" s="31" t="s">
        <v>150</v>
      </c>
      <c r="D112" s="31" t="s">
        <v>151</v>
      </c>
      <c r="E112" s="32" t="s">
        <v>152</v>
      </c>
      <c r="F112" s="33">
        <v>127.08</v>
      </c>
      <c r="G112" s="33"/>
      <c r="H112" s="92"/>
    </row>
    <row r="113" spans="1:8" ht="119.1" customHeight="1" x14ac:dyDescent="0.25">
      <c r="A113" s="13">
        <v>4</v>
      </c>
      <c r="B113" s="6" t="s">
        <v>153</v>
      </c>
      <c r="C113" s="31" t="s">
        <v>154</v>
      </c>
      <c r="D113" s="31" t="s">
        <v>155</v>
      </c>
      <c r="E113" s="32" t="s">
        <v>156</v>
      </c>
      <c r="F113" s="33">
        <v>649.08000000000004</v>
      </c>
      <c r="G113" s="33"/>
      <c r="H113" s="92"/>
    </row>
    <row r="114" spans="1:8" ht="35.65" customHeight="1" x14ac:dyDescent="0.25">
      <c r="A114" s="13">
        <v>5</v>
      </c>
      <c r="B114" s="6" t="s">
        <v>157</v>
      </c>
      <c r="C114" s="31" t="s">
        <v>158</v>
      </c>
      <c r="D114" s="31" t="s">
        <v>159</v>
      </c>
      <c r="E114" s="32" t="s">
        <v>160</v>
      </c>
      <c r="F114" s="33">
        <v>127.08</v>
      </c>
      <c r="G114" s="33"/>
      <c r="H114" s="92"/>
    </row>
    <row r="115" spans="1:8" ht="47.25" customHeight="1" x14ac:dyDescent="0.25">
      <c r="A115" s="13">
        <v>6</v>
      </c>
      <c r="B115" s="6" t="s">
        <v>161</v>
      </c>
      <c r="C115" s="31" t="s">
        <v>99</v>
      </c>
      <c r="D115" s="31" t="s">
        <v>162</v>
      </c>
      <c r="E115" s="32" t="s">
        <v>99</v>
      </c>
      <c r="F115" s="33">
        <v>137.04</v>
      </c>
      <c r="G115" s="33"/>
      <c r="H115" s="93"/>
    </row>
    <row r="116" spans="1:8" ht="23.45" customHeight="1" x14ac:dyDescent="0.25">
      <c r="A116" s="35" t="s">
        <v>140</v>
      </c>
      <c r="B116" s="36"/>
      <c r="C116" s="36"/>
      <c r="D116" s="36"/>
      <c r="E116" s="36"/>
      <c r="F116" s="37"/>
      <c r="G116" s="37"/>
      <c r="H116" s="91" t="s">
        <v>75</v>
      </c>
    </row>
    <row r="117" spans="1:8" ht="51.4" customHeight="1" x14ac:dyDescent="0.25">
      <c r="A117" s="13">
        <v>1</v>
      </c>
      <c r="B117" s="6" t="s">
        <v>167</v>
      </c>
      <c r="C117" s="31" t="s">
        <v>142</v>
      </c>
      <c r="D117" s="31" t="s">
        <v>168</v>
      </c>
      <c r="E117" s="32" t="s">
        <v>144</v>
      </c>
      <c r="F117" s="33">
        <v>1375</v>
      </c>
      <c r="G117" s="33">
        <v>180</v>
      </c>
      <c r="H117" s="92"/>
    </row>
    <row r="118" spans="1:8" ht="137.1" customHeight="1" x14ac:dyDescent="0.25">
      <c r="A118" s="13">
        <v>2</v>
      </c>
      <c r="B118" s="6" t="s">
        <v>145</v>
      </c>
      <c r="C118" s="31" t="s">
        <v>146</v>
      </c>
      <c r="D118" s="31" t="s">
        <v>147</v>
      </c>
      <c r="E118" s="32" t="s">
        <v>148</v>
      </c>
      <c r="F118" s="33">
        <v>843.24</v>
      </c>
      <c r="G118" s="33"/>
      <c r="H118" s="92"/>
    </row>
    <row r="119" spans="1:8" ht="33.200000000000003" customHeight="1" x14ac:dyDescent="0.25">
      <c r="A119" s="13">
        <v>3</v>
      </c>
      <c r="B119" s="6" t="s">
        <v>149</v>
      </c>
      <c r="C119" s="31" t="s">
        <v>150</v>
      </c>
      <c r="D119" s="31" t="s">
        <v>151</v>
      </c>
      <c r="E119" s="32" t="s">
        <v>152</v>
      </c>
      <c r="F119" s="33">
        <v>127.08</v>
      </c>
      <c r="G119" s="33"/>
      <c r="H119" s="92"/>
    </row>
    <row r="120" spans="1:8" ht="119.1" customHeight="1" x14ac:dyDescent="0.25">
      <c r="A120" s="13">
        <v>4</v>
      </c>
      <c r="B120" s="6" t="s">
        <v>153</v>
      </c>
      <c r="C120" s="31" t="s">
        <v>154</v>
      </c>
      <c r="D120" s="31" t="s">
        <v>155</v>
      </c>
      <c r="E120" s="32" t="s">
        <v>156</v>
      </c>
      <c r="F120" s="33">
        <v>649.08000000000004</v>
      </c>
      <c r="G120" s="33"/>
      <c r="H120" s="92"/>
    </row>
    <row r="121" spans="1:8" ht="35.65" customHeight="1" x14ac:dyDescent="0.25">
      <c r="A121" s="13">
        <v>5</v>
      </c>
      <c r="B121" s="6" t="s">
        <v>157</v>
      </c>
      <c r="C121" s="31" t="s">
        <v>158</v>
      </c>
      <c r="D121" s="31" t="s">
        <v>159</v>
      </c>
      <c r="E121" s="32" t="s">
        <v>160</v>
      </c>
      <c r="F121" s="33">
        <v>127.08</v>
      </c>
      <c r="G121" s="33"/>
      <c r="H121" s="92"/>
    </row>
    <row r="122" spans="1:8" ht="47.25" customHeight="1" x14ac:dyDescent="0.25">
      <c r="A122" s="13">
        <v>6</v>
      </c>
      <c r="B122" s="6" t="s">
        <v>161</v>
      </c>
      <c r="C122" s="31" t="s">
        <v>99</v>
      </c>
      <c r="D122" s="31" t="s">
        <v>162</v>
      </c>
      <c r="E122" s="32" t="s">
        <v>99</v>
      </c>
      <c r="F122" s="33">
        <v>137.04</v>
      </c>
      <c r="G122" s="33"/>
      <c r="H122" s="93"/>
    </row>
    <row r="123" spans="1:8" ht="23.45" customHeight="1" x14ac:dyDescent="0.25">
      <c r="A123" s="35" t="s">
        <v>140</v>
      </c>
      <c r="B123" s="36"/>
      <c r="C123" s="36"/>
      <c r="D123" s="36"/>
      <c r="E123" s="36"/>
      <c r="F123" s="37"/>
      <c r="G123" s="37"/>
      <c r="H123" s="91" t="s">
        <v>78</v>
      </c>
    </row>
    <row r="124" spans="1:8" ht="51.4" customHeight="1" x14ac:dyDescent="0.25">
      <c r="A124" s="13">
        <v>1</v>
      </c>
      <c r="B124" s="6" t="s">
        <v>169</v>
      </c>
      <c r="C124" s="31" t="s">
        <v>142</v>
      </c>
      <c r="D124" s="31" t="s">
        <v>170</v>
      </c>
      <c r="E124" s="32" t="s">
        <v>144</v>
      </c>
      <c r="F124" s="33">
        <v>1375</v>
      </c>
      <c r="G124" s="33">
        <v>180</v>
      </c>
      <c r="H124" s="92"/>
    </row>
    <row r="125" spans="1:8" ht="137.1" customHeight="1" x14ac:dyDescent="0.25">
      <c r="A125" s="13">
        <v>2</v>
      </c>
      <c r="B125" s="6" t="s">
        <v>145</v>
      </c>
      <c r="C125" s="31" t="s">
        <v>146</v>
      </c>
      <c r="D125" s="31" t="s">
        <v>147</v>
      </c>
      <c r="E125" s="32" t="s">
        <v>148</v>
      </c>
      <c r="F125" s="33">
        <v>843.24</v>
      </c>
      <c r="G125" s="33"/>
      <c r="H125" s="92"/>
    </row>
    <row r="126" spans="1:8" ht="33.200000000000003" customHeight="1" x14ac:dyDescent="0.25">
      <c r="A126" s="13">
        <v>3</v>
      </c>
      <c r="B126" s="6" t="s">
        <v>149</v>
      </c>
      <c r="C126" s="31" t="s">
        <v>150</v>
      </c>
      <c r="D126" s="31" t="s">
        <v>151</v>
      </c>
      <c r="E126" s="32" t="s">
        <v>152</v>
      </c>
      <c r="F126" s="33">
        <v>127.08</v>
      </c>
      <c r="G126" s="33"/>
      <c r="H126" s="92"/>
    </row>
    <row r="127" spans="1:8" ht="119.1" customHeight="1" x14ac:dyDescent="0.25">
      <c r="A127" s="13">
        <v>4</v>
      </c>
      <c r="B127" s="6" t="s">
        <v>153</v>
      </c>
      <c r="C127" s="31" t="s">
        <v>154</v>
      </c>
      <c r="D127" s="31" t="s">
        <v>155</v>
      </c>
      <c r="E127" s="32" t="s">
        <v>156</v>
      </c>
      <c r="F127" s="33">
        <v>649.08000000000004</v>
      </c>
      <c r="G127" s="33"/>
      <c r="H127" s="92"/>
    </row>
    <row r="128" spans="1:8" ht="35.65" customHeight="1" x14ac:dyDescent="0.25">
      <c r="A128" s="13">
        <v>5</v>
      </c>
      <c r="B128" s="6" t="s">
        <v>157</v>
      </c>
      <c r="C128" s="31" t="s">
        <v>158</v>
      </c>
      <c r="D128" s="31" t="s">
        <v>159</v>
      </c>
      <c r="E128" s="32" t="s">
        <v>160</v>
      </c>
      <c r="F128" s="33">
        <v>127.08</v>
      </c>
      <c r="G128" s="33"/>
      <c r="H128" s="92"/>
    </row>
    <row r="129" spans="1:8" ht="47.25" customHeight="1" x14ac:dyDescent="0.25">
      <c r="A129" s="13">
        <v>6</v>
      </c>
      <c r="B129" s="6" t="s">
        <v>161</v>
      </c>
      <c r="C129" s="31" t="s">
        <v>99</v>
      </c>
      <c r="D129" s="31" t="s">
        <v>162</v>
      </c>
      <c r="E129" s="32" t="s">
        <v>99</v>
      </c>
      <c r="F129" s="33">
        <v>137.04</v>
      </c>
      <c r="G129" s="33"/>
      <c r="H129" s="93"/>
    </row>
    <row r="130" spans="1:8" ht="28.5" customHeight="1" x14ac:dyDescent="0.25">
      <c r="A130" s="35" t="s">
        <v>171</v>
      </c>
      <c r="B130" s="36"/>
      <c r="C130" s="36"/>
      <c r="D130" s="36"/>
      <c r="E130" s="36"/>
      <c r="F130" s="37"/>
      <c r="G130" s="37"/>
      <c r="H130" s="91" t="s">
        <v>52</v>
      </c>
    </row>
    <row r="131" spans="1:8" ht="45" customHeight="1" x14ac:dyDescent="0.25">
      <c r="A131" s="13">
        <v>1</v>
      </c>
      <c r="B131" s="6" t="s">
        <v>172</v>
      </c>
      <c r="C131" s="31" t="s">
        <v>173</v>
      </c>
      <c r="D131" s="31" t="s">
        <v>174</v>
      </c>
      <c r="E131" s="32" t="s">
        <v>175</v>
      </c>
      <c r="F131" s="33">
        <v>1738.55</v>
      </c>
      <c r="G131" s="33">
        <v>180</v>
      </c>
      <c r="H131" s="92"/>
    </row>
    <row r="132" spans="1:8" ht="161.65" customHeight="1" x14ac:dyDescent="0.25">
      <c r="A132" s="13">
        <v>2</v>
      </c>
      <c r="B132" s="6" t="s">
        <v>176</v>
      </c>
      <c r="C132" s="31" t="s">
        <v>177</v>
      </c>
      <c r="D132" s="31" t="s">
        <v>178</v>
      </c>
      <c r="E132" s="32" t="s">
        <v>179</v>
      </c>
      <c r="F132" s="33">
        <v>1329.36</v>
      </c>
      <c r="G132" s="33"/>
      <c r="H132" s="92"/>
    </row>
    <row r="133" spans="1:8" ht="30" customHeight="1" x14ac:dyDescent="0.25">
      <c r="A133" s="13">
        <v>3</v>
      </c>
      <c r="B133" s="6" t="s">
        <v>180</v>
      </c>
      <c r="C133" s="31" t="s">
        <v>181</v>
      </c>
      <c r="D133" s="31" t="s">
        <v>182</v>
      </c>
      <c r="E133" s="32" t="s">
        <v>183</v>
      </c>
      <c r="F133" s="33">
        <v>199.68</v>
      </c>
      <c r="G133" s="33"/>
      <c r="H133" s="92"/>
    </row>
    <row r="134" spans="1:8" ht="105.95" customHeight="1" x14ac:dyDescent="0.25">
      <c r="A134" s="13">
        <v>4</v>
      </c>
      <c r="B134" s="6" t="s">
        <v>184</v>
      </c>
      <c r="C134" s="31" t="s">
        <v>185</v>
      </c>
      <c r="D134" s="31" t="s">
        <v>186</v>
      </c>
      <c r="E134" s="32" t="s">
        <v>187</v>
      </c>
      <c r="F134" s="33">
        <v>1023</v>
      </c>
      <c r="G134" s="33"/>
      <c r="H134" s="92"/>
    </row>
    <row r="135" spans="1:8" ht="47.25" customHeight="1" x14ac:dyDescent="0.25">
      <c r="A135" s="13">
        <v>5</v>
      </c>
      <c r="B135" s="6" t="s">
        <v>188</v>
      </c>
      <c r="C135" s="31" t="s">
        <v>99</v>
      </c>
      <c r="D135" s="31" t="s">
        <v>189</v>
      </c>
      <c r="E135" s="32" t="s">
        <v>99</v>
      </c>
      <c r="F135" s="33">
        <v>172.68</v>
      </c>
      <c r="G135" s="33"/>
      <c r="H135" s="92"/>
    </row>
    <row r="136" spans="1:8" ht="41.65" customHeight="1" x14ac:dyDescent="0.25">
      <c r="A136" s="13">
        <v>6</v>
      </c>
      <c r="B136" s="6" t="s">
        <v>190</v>
      </c>
      <c r="C136" s="31" t="s">
        <v>191</v>
      </c>
      <c r="D136" s="31" t="s">
        <v>192</v>
      </c>
      <c r="E136" s="32" t="s">
        <v>193</v>
      </c>
      <c r="F136" s="33">
        <v>199.68</v>
      </c>
      <c r="G136" s="33"/>
      <c r="H136" s="93"/>
    </row>
    <row r="137" spans="1:8" ht="28.5" customHeight="1" x14ac:dyDescent="0.25">
      <c r="A137" s="35" t="s">
        <v>171</v>
      </c>
      <c r="B137" s="36"/>
      <c r="C137" s="36"/>
      <c r="D137" s="36"/>
      <c r="E137" s="36"/>
      <c r="F137" s="37"/>
      <c r="G137" s="37"/>
      <c r="H137" s="91" t="s">
        <v>69</v>
      </c>
    </row>
    <row r="138" spans="1:8" ht="45" customHeight="1" x14ac:dyDescent="0.25">
      <c r="A138" s="13">
        <v>1</v>
      </c>
      <c r="B138" s="6" t="s">
        <v>194</v>
      </c>
      <c r="C138" s="31" t="s">
        <v>173</v>
      </c>
      <c r="D138" s="31" t="s">
        <v>195</v>
      </c>
      <c r="E138" s="32" t="s">
        <v>175</v>
      </c>
      <c r="F138" s="33">
        <v>1738.55</v>
      </c>
      <c r="G138" s="33">
        <v>180</v>
      </c>
      <c r="H138" s="92"/>
    </row>
    <row r="139" spans="1:8" ht="161.65" customHeight="1" x14ac:dyDescent="0.25">
      <c r="A139" s="13">
        <v>2</v>
      </c>
      <c r="B139" s="6" t="s">
        <v>176</v>
      </c>
      <c r="C139" s="31" t="s">
        <v>177</v>
      </c>
      <c r="D139" s="31" t="s">
        <v>178</v>
      </c>
      <c r="E139" s="32" t="s">
        <v>179</v>
      </c>
      <c r="F139" s="33">
        <v>1329.36</v>
      </c>
      <c r="G139" s="33"/>
      <c r="H139" s="92"/>
    </row>
    <row r="140" spans="1:8" ht="30" customHeight="1" x14ac:dyDescent="0.25">
      <c r="A140" s="13">
        <v>3</v>
      </c>
      <c r="B140" s="6" t="s">
        <v>180</v>
      </c>
      <c r="C140" s="31" t="s">
        <v>181</v>
      </c>
      <c r="D140" s="31" t="s">
        <v>182</v>
      </c>
      <c r="E140" s="32" t="s">
        <v>183</v>
      </c>
      <c r="F140" s="33">
        <v>199.68</v>
      </c>
      <c r="G140" s="33"/>
      <c r="H140" s="92"/>
    </row>
    <row r="141" spans="1:8" ht="105.95" customHeight="1" x14ac:dyDescent="0.25">
      <c r="A141" s="13">
        <v>4</v>
      </c>
      <c r="B141" s="6" t="s">
        <v>184</v>
      </c>
      <c r="C141" s="31" t="s">
        <v>185</v>
      </c>
      <c r="D141" s="31" t="s">
        <v>186</v>
      </c>
      <c r="E141" s="32" t="s">
        <v>187</v>
      </c>
      <c r="F141" s="33">
        <v>1023</v>
      </c>
      <c r="G141" s="33"/>
      <c r="H141" s="92"/>
    </row>
    <row r="142" spans="1:8" ht="47.25" customHeight="1" x14ac:dyDescent="0.25">
      <c r="A142" s="13">
        <v>5</v>
      </c>
      <c r="B142" s="6" t="s">
        <v>188</v>
      </c>
      <c r="C142" s="31" t="s">
        <v>99</v>
      </c>
      <c r="D142" s="31" t="s">
        <v>189</v>
      </c>
      <c r="E142" s="32" t="s">
        <v>99</v>
      </c>
      <c r="F142" s="33">
        <v>172.68</v>
      </c>
      <c r="G142" s="33"/>
      <c r="H142" s="92"/>
    </row>
    <row r="143" spans="1:8" ht="41.65" customHeight="1" x14ac:dyDescent="0.25">
      <c r="A143" s="13">
        <v>6</v>
      </c>
      <c r="B143" s="6" t="s">
        <v>190</v>
      </c>
      <c r="C143" s="31" t="s">
        <v>191</v>
      </c>
      <c r="D143" s="31" t="s">
        <v>192</v>
      </c>
      <c r="E143" s="32" t="s">
        <v>193</v>
      </c>
      <c r="F143" s="33">
        <v>199.68</v>
      </c>
      <c r="G143" s="33"/>
      <c r="H143" s="93"/>
    </row>
    <row r="144" spans="1:8" ht="28.5" customHeight="1" x14ac:dyDescent="0.25">
      <c r="A144" s="35" t="s">
        <v>171</v>
      </c>
      <c r="B144" s="36"/>
      <c r="C144" s="36"/>
      <c r="D144" s="36"/>
      <c r="E144" s="36"/>
      <c r="F144" s="37"/>
      <c r="G144" s="37"/>
      <c r="H144" s="91" t="s">
        <v>72</v>
      </c>
    </row>
    <row r="145" spans="1:8" ht="45" customHeight="1" x14ac:dyDescent="0.25">
      <c r="A145" s="13">
        <v>1</v>
      </c>
      <c r="B145" s="6" t="s">
        <v>196</v>
      </c>
      <c r="C145" s="31" t="s">
        <v>173</v>
      </c>
      <c r="D145" s="31" t="s">
        <v>197</v>
      </c>
      <c r="E145" s="32" t="s">
        <v>175</v>
      </c>
      <c r="F145" s="33">
        <v>1738.55</v>
      </c>
      <c r="G145" s="33">
        <v>180</v>
      </c>
      <c r="H145" s="92"/>
    </row>
    <row r="146" spans="1:8" ht="161.65" customHeight="1" x14ac:dyDescent="0.25">
      <c r="A146" s="13">
        <v>2</v>
      </c>
      <c r="B146" s="6" t="s">
        <v>176</v>
      </c>
      <c r="C146" s="31" t="s">
        <v>177</v>
      </c>
      <c r="D146" s="31" t="s">
        <v>178</v>
      </c>
      <c r="E146" s="32" t="s">
        <v>179</v>
      </c>
      <c r="F146" s="33">
        <v>1329.36</v>
      </c>
      <c r="G146" s="33"/>
      <c r="H146" s="92"/>
    </row>
    <row r="147" spans="1:8" ht="30" customHeight="1" x14ac:dyDescent="0.25">
      <c r="A147" s="13">
        <v>3</v>
      </c>
      <c r="B147" s="6" t="s">
        <v>180</v>
      </c>
      <c r="C147" s="31" t="s">
        <v>181</v>
      </c>
      <c r="D147" s="31" t="s">
        <v>182</v>
      </c>
      <c r="E147" s="32" t="s">
        <v>183</v>
      </c>
      <c r="F147" s="33">
        <v>199.68</v>
      </c>
      <c r="G147" s="33"/>
      <c r="H147" s="92"/>
    </row>
    <row r="148" spans="1:8" ht="105.95" customHeight="1" x14ac:dyDescent="0.25">
      <c r="A148" s="13">
        <v>4</v>
      </c>
      <c r="B148" s="6" t="s">
        <v>184</v>
      </c>
      <c r="C148" s="31" t="s">
        <v>185</v>
      </c>
      <c r="D148" s="31" t="s">
        <v>186</v>
      </c>
      <c r="E148" s="32" t="s">
        <v>187</v>
      </c>
      <c r="F148" s="33">
        <v>1023</v>
      </c>
      <c r="G148" s="33"/>
      <c r="H148" s="92"/>
    </row>
    <row r="149" spans="1:8" ht="47.25" customHeight="1" x14ac:dyDescent="0.25">
      <c r="A149" s="13">
        <v>5</v>
      </c>
      <c r="B149" s="6" t="s">
        <v>188</v>
      </c>
      <c r="C149" s="31" t="s">
        <v>99</v>
      </c>
      <c r="D149" s="31" t="s">
        <v>189</v>
      </c>
      <c r="E149" s="32" t="s">
        <v>99</v>
      </c>
      <c r="F149" s="33">
        <v>172.68</v>
      </c>
      <c r="G149" s="33"/>
      <c r="H149" s="92"/>
    </row>
    <row r="150" spans="1:8" ht="41.65" customHeight="1" x14ac:dyDescent="0.25">
      <c r="A150" s="13">
        <v>6</v>
      </c>
      <c r="B150" s="6" t="s">
        <v>190</v>
      </c>
      <c r="C150" s="31" t="s">
        <v>191</v>
      </c>
      <c r="D150" s="31" t="s">
        <v>192</v>
      </c>
      <c r="E150" s="32" t="s">
        <v>193</v>
      </c>
      <c r="F150" s="33">
        <v>199.68</v>
      </c>
      <c r="G150" s="33"/>
      <c r="H150" s="93"/>
    </row>
    <row r="151" spans="1:8" ht="28.5" customHeight="1" x14ac:dyDescent="0.25">
      <c r="A151" s="35" t="s">
        <v>171</v>
      </c>
      <c r="B151" s="36"/>
      <c r="C151" s="36"/>
      <c r="D151" s="36"/>
      <c r="E151" s="36"/>
      <c r="F151" s="37"/>
      <c r="G151" s="37"/>
      <c r="H151" s="91" t="s">
        <v>75</v>
      </c>
    </row>
    <row r="152" spans="1:8" ht="45" customHeight="1" x14ac:dyDescent="0.25">
      <c r="A152" s="13">
        <v>1</v>
      </c>
      <c r="B152" s="6" t="s">
        <v>198</v>
      </c>
      <c r="C152" s="31" t="s">
        <v>173</v>
      </c>
      <c r="D152" s="31" t="s">
        <v>199</v>
      </c>
      <c r="E152" s="32" t="s">
        <v>175</v>
      </c>
      <c r="F152" s="33">
        <v>1738.55</v>
      </c>
      <c r="G152" s="33">
        <v>180</v>
      </c>
      <c r="H152" s="92"/>
    </row>
    <row r="153" spans="1:8" ht="161.65" customHeight="1" x14ac:dyDescent="0.25">
      <c r="A153" s="13">
        <v>2</v>
      </c>
      <c r="B153" s="6" t="s">
        <v>176</v>
      </c>
      <c r="C153" s="31" t="s">
        <v>177</v>
      </c>
      <c r="D153" s="31" t="s">
        <v>178</v>
      </c>
      <c r="E153" s="32" t="s">
        <v>179</v>
      </c>
      <c r="F153" s="33">
        <v>1329.36</v>
      </c>
      <c r="G153" s="33"/>
      <c r="H153" s="92"/>
    </row>
    <row r="154" spans="1:8" ht="30" customHeight="1" x14ac:dyDescent="0.25">
      <c r="A154" s="13">
        <v>3</v>
      </c>
      <c r="B154" s="6" t="s">
        <v>180</v>
      </c>
      <c r="C154" s="31" t="s">
        <v>181</v>
      </c>
      <c r="D154" s="31" t="s">
        <v>182</v>
      </c>
      <c r="E154" s="32" t="s">
        <v>183</v>
      </c>
      <c r="F154" s="33">
        <v>199.68</v>
      </c>
      <c r="G154" s="33"/>
      <c r="H154" s="92"/>
    </row>
    <row r="155" spans="1:8" ht="105.95" customHeight="1" x14ac:dyDescent="0.25">
      <c r="A155" s="13">
        <v>4</v>
      </c>
      <c r="B155" s="6" t="s">
        <v>184</v>
      </c>
      <c r="C155" s="31" t="s">
        <v>185</v>
      </c>
      <c r="D155" s="31" t="s">
        <v>186</v>
      </c>
      <c r="E155" s="32" t="s">
        <v>187</v>
      </c>
      <c r="F155" s="33">
        <v>1023</v>
      </c>
      <c r="G155" s="33"/>
      <c r="H155" s="92"/>
    </row>
    <row r="156" spans="1:8" ht="47.25" customHeight="1" x14ac:dyDescent="0.25">
      <c r="A156" s="13">
        <v>5</v>
      </c>
      <c r="B156" s="6" t="s">
        <v>188</v>
      </c>
      <c r="C156" s="31" t="s">
        <v>99</v>
      </c>
      <c r="D156" s="31" t="s">
        <v>189</v>
      </c>
      <c r="E156" s="32" t="s">
        <v>99</v>
      </c>
      <c r="F156" s="33">
        <v>172.68</v>
      </c>
      <c r="G156" s="33"/>
      <c r="H156" s="92"/>
    </row>
    <row r="157" spans="1:8" ht="41.65" customHeight="1" x14ac:dyDescent="0.25">
      <c r="A157" s="13">
        <v>6</v>
      </c>
      <c r="B157" s="6" t="s">
        <v>190</v>
      </c>
      <c r="C157" s="31" t="s">
        <v>191</v>
      </c>
      <c r="D157" s="31" t="s">
        <v>192</v>
      </c>
      <c r="E157" s="32" t="s">
        <v>193</v>
      </c>
      <c r="F157" s="33">
        <v>199.68</v>
      </c>
      <c r="G157" s="33"/>
      <c r="H157" s="93"/>
    </row>
    <row r="158" spans="1:8" ht="28.5" customHeight="1" x14ac:dyDescent="0.25">
      <c r="A158" s="35" t="s">
        <v>171</v>
      </c>
      <c r="B158" s="36"/>
      <c r="C158" s="36"/>
      <c r="D158" s="36"/>
      <c r="E158" s="36"/>
      <c r="F158" s="37"/>
      <c r="G158" s="37"/>
      <c r="H158" s="91" t="s">
        <v>78</v>
      </c>
    </row>
    <row r="159" spans="1:8" ht="45" customHeight="1" x14ac:dyDescent="0.25">
      <c r="A159" s="13">
        <v>1</v>
      </c>
      <c r="B159" s="6" t="s">
        <v>200</v>
      </c>
      <c r="C159" s="31" t="s">
        <v>173</v>
      </c>
      <c r="D159" s="31" t="s">
        <v>201</v>
      </c>
      <c r="E159" s="32" t="s">
        <v>175</v>
      </c>
      <c r="F159" s="33">
        <v>1738.55</v>
      </c>
      <c r="G159" s="33">
        <v>180</v>
      </c>
      <c r="H159" s="92"/>
    </row>
    <row r="160" spans="1:8" ht="161.65" customHeight="1" x14ac:dyDescent="0.25">
      <c r="A160" s="13">
        <v>2</v>
      </c>
      <c r="B160" s="6" t="s">
        <v>176</v>
      </c>
      <c r="C160" s="31" t="s">
        <v>177</v>
      </c>
      <c r="D160" s="31" t="s">
        <v>178</v>
      </c>
      <c r="E160" s="32" t="s">
        <v>179</v>
      </c>
      <c r="F160" s="33">
        <v>1329.36</v>
      </c>
      <c r="G160" s="33"/>
      <c r="H160" s="92"/>
    </row>
    <row r="161" spans="1:8" ht="30" customHeight="1" x14ac:dyDescent="0.25">
      <c r="A161" s="13">
        <v>3</v>
      </c>
      <c r="B161" s="6" t="s">
        <v>180</v>
      </c>
      <c r="C161" s="31" t="s">
        <v>181</v>
      </c>
      <c r="D161" s="31" t="s">
        <v>182</v>
      </c>
      <c r="E161" s="32" t="s">
        <v>183</v>
      </c>
      <c r="F161" s="33">
        <v>199.68</v>
      </c>
      <c r="G161" s="33"/>
      <c r="H161" s="92"/>
    </row>
    <row r="162" spans="1:8" ht="105.95" customHeight="1" x14ac:dyDescent="0.25">
      <c r="A162" s="13">
        <v>4</v>
      </c>
      <c r="B162" s="6" t="s">
        <v>184</v>
      </c>
      <c r="C162" s="31" t="s">
        <v>185</v>
      </c>
      <c r="D162" s="31" t="s">
        <v>186</v>
      </c>
      <c r="E162" s="32" t="s">
        <v>187</v>
      </c>
      <c r="F162" s="33">
        <v>1023</v>
      </c>
      <c r="G162" s="33"/>
      <c r="H162" s="92"/>
    </row>
    <row r="163" spans="1:8" ht="47.25" customHeight="1" x14ac:dyDescent="0.25">
      <c r="A163" s="13">
        <v>5</v>
      </c>
      <c r="B163" s="6" t="s">
        <v>188</v>
      </c>
      <c r="C163" s="31" t="s">
        <v>99</v>
      </c>
      <c r="D163" s="31" t="s">
        <v>189</v>
      </c>
      <c r="E163" s="32" t="s">
        <v>99</v>
      </c>
      <c r="F163" s="33">
        <v>172.68</v>
      </c>
      <c r="G163" s="33"/>
      <c r="H163" s="92"/>
    </row>
    <row r="164" spans="1:8" ht="41.65" customHeight="1" x14ac:dyDescent="0.25">
      <c r="A164" s="13">
        <v>6</v>
      </c>
      <c r="B164" s="6" t="s">
        <v>190</v>
      </c>
      <c r="C164" s="31" t="s">
        <v>191</v>
      </c>
      <c r="D164" s="31" t="s">
        <v>192</v>
      </c>
      <c r="E164" s="32" t="s">
        <v>193</v>
      </c>
      <c r="F164" s="33">
        <v>199.68</v>
      </c>
      <c r="G164" s="33"/>
      <c r="H164" s="93"/>
    </row>
  </sheetData>
  <mergeCells count="27">
    <mergeCell ref="H151:H157"/>
    <mergeCell ref="H158:H164"/>
    <mergeCell ref="H116:H122"/>
    <mergeCell ref="H123:H129"/>
    <mergeCell ref="H130:H136"/>
    <mergeCell ref="H137:H143"/>
    <mergeCell ref="H144:H150"/>
    <mergeCell ref="H81:H87"/>
    <mergeCell ref="H88:H94"/>
    <mergeCell ref="H95:H101"/>
    <mergeCell ref="H102:H108"/>
    <mergeCell ref="H109:H115"/>
    <mergeCell ref="H48:H53"/>
    <mergeCell ref="H54:H59"/>
    <mergeCell ref="H60:H66"/>
    <mergeCell ref="H67:H73"/>
    <mergeCell ref="H74:H80"/>
    <mergeCell ref="H20:H24"/>
    <mergeCell ref="H25:H29"/>
    <mergeCell ref="H30:H35"/>
    <mergeCell ref="H36:H41"/>
    <mergeCell ref="H42:H47"/>
    <mergeCell ref="A1:F1"/>
    <mergeCell ref="A2:B2"/>
    <mergeCell ref="H5:H9"/>
    <mergeCell ref="H10:H14"/>
    <mergeCell ref="H15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66"/>
  </sheetPr>
  <dimension ref="A1:H196"/>
  <sheetViews>
    <sheetView zoomScale="73" zoomScaleNormal="90" workbookViewId="0">
      <selection activeCell="J10" sqref="J10"/>
    </sheetView>
  </sheetViews>
  <sheetFormatPr defaultColWidth="9" defaultRowHeight="15" x14ac:dyDescent="0.25"/>
  <cols>
    <col min="1" max="1" width="17.5703125" style="23" customWidth="1"/>
    <col min="2" max="2" width="23" style="23" customWidth="1"/>
    <col min="3" max="3" width="56.42578125" style="23" customWidth="1"/>
    <col min="4" max="4" width="61.5703125" style="23" customWidth="1"/>
    <col min="5" max="5" width="89.85546875" style="23" customWidth="1"/>
    <col min="6" max="7" width="19.85546875" style="41" customWidth="1"/>
    <col min="8" max="11" width="14.7109375" style="23" customWidth="1"/>
    <col min="12" max="12" width="9" style="23" customWidth="1"/>
    <col min="13" max="16384" width="9" style="23"/>
  </cols>
  <sheetData>
    <row r="1" spans="1:8" ht="28.9" customHeight="1" x14ac:dyDescent="0.25">
      <c r="A1" s="94" t="s">
        <v>41</v>
      </c>
      <c r="B1" s="94"/>
      <c r="C1" s="94"/>
      <c r="D1" s="94"/>
      <c r="E1" s="94"/>
      <c r="F1" s="94"/>
      <c r="G1" s="23"/>
    </row>
    <row r="2" spans="1:8" ht="26.1" customHeight="1" x14ac:dyDescent="0.25">
      <c r="A2" s="90" t="s">
        <v>42</v>
      </c>
      <c r="B2" s="90"/>
      <c r="C2" s="24"/>
      <c r="D2" s="24"/>
      <c r="E2" s="95"/>
      <c r="F2" s="96"/>
      <c r="G2" s="23"/>
    </row>
    <row r="4" spans="1:8" ht="35.65" customHeight="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7" t="s">
        <v>48</v>
      </c>
      <c r="G4" s="27" t="s">
        <v>49</v>
      </c>
      <c r="H4" s="27" t="s">
        <v>50</v>
      </c>
    </row>
    <row r="5" spans="1:8" ht="25.7" customHeight="1" x14ac:dyDescent="0.25">
      <c r="A5" s="35" t="s">
        <v>202</v>
      </c>
      <c r="B5" s="36"/>
      <c r="C5" s="36"/>
      <c r="D5" s="36"/>
      <c r="E5" s="36"/>
      <c r="F5" s="37"/>
      <c r="G5" s="37"/>
      <c r="H5" s="97" t="s">
        <v>52</v>
      </c>
    </row>
    <row r="6" spans="1:8" ht="96" customHeight="1" x14ac:dyDescent="0.25">
      <c r="A6" s="13">
        <v>1</v>
      </c>
      <c r="B6" s="6" t="s">
        <v>203</v>
      </c>
      <c r="C6" s="31" t="s">
        <v>204</v>
      </c>
      <c r="D6" s="31" t="s">
        <v>205</v>
      </c>
      <c r="E6" s="32" t="s">
        <v>206</v>
      </c>
      <c r="F6" s="33">
        <v>2727.45</v>
      </c>
      <c r="G6" s="33">
        <v>340</v>
      </c>
      <c r="H6" s="97"/>
    </row>
    <row r="7" spans="1:8" ht="159" customHeight="1" x14ac:dyDescent="0.25">
      <c r="A7" s="13">
        <v>2</v>
      </c>
      <c r="B7" s="6" t="s">
        <v>207</v>
      </c>
      <c r="C7" s="31" t="s">
        <v>208</v>
      </c>
      <c r="D7" s="31" t="s">
        <v>209</v>
      </c>
      <c r="E7" s="32" t="s">
        <v>210</v>
      </c>
      <c r="F7" s="33">
        <v>2902.44</v>
      </c>
      <c r="G7" s="33"/>
      <c r="H7" s="97"/>
    </row>
    <row r="8" spans="1:8" ht="147.4" customHeight="1" x14ac:dyDescent="0.25">
      <c r="A8" s="13">
        <v>3</v>
      </c>
      <c r="B8" s="6" t="s">
        <v>211</v>
      </c>
      <c r="C8" s="6" t="s">
        <v>212</v>
      </c>
      <c r="D8" s="31" t="s">
        <v>213</v>
      </c>
      <c r="E8" s="43" t="s">
        <v>214</v>
      </c>
      <c r="F8" s="33">
        <v>2151.12</v>
      </c>
      <c r="G8" s="33"/>
      <c r="H8" s="97"/>
    </row>
    <row r="9" spans="1:8" ht="51.4" customHeight="1" x14ac:dyDescent="0.25">
      <c r="A9" s="13">
        <v>4</v>
      </c>
      <c r="B9" s="6" t="s">
        <v>215</v>
      </c>
      <c r="C9" s="6" t="s">
        <v>216</v>
      </c>
      <c r="D9" s="31" t="s">
        <v>217</v>
      </c>
      <c r="E9" s="44" t="s">
        <v>218</v>
      </c>
      <c r="F9" s="33">
        <v>436.08</v>
      </c>
      <c r="G9" s="45"/>
      <c r="H9" s="97"/>
    </row>
    <row r="10" spans="1:8" ht="30" customHeight="1" x14ac:dyDescent="0.25">
      <c r="A10" s="13">
        <v>5</v>
      </c>
      <c r="B10" s="6" t="s">
        <v>219</v>
      </c>
      <c r="C10" s="6" t="s">
        <v>220</v>
      </c>
      <c r="D10" s="31" t="s">
        <v>221</v>
      </c>
      <c r="E10" s="44" t="s">
        <v>222</v>
      </c>
      <c r="F10" s="33">
        <v>436.08</v>
      </c>
      <c r="G10" s="45"/>
      <c r="H10" s="97"/>
    </row>
    <row r="11" spans="1:8" ht="80.650000000000006" customHeight="1" x14ac:dyDescent="0.25">
      <c r="A11" s="10">
        <v>6</v>
      </c>
      <c r="B11" s="6" t="s">
        <v>223</v>
      </c>
      <c r="C11" s="6" t="s">
        <v>224</v>
      </c>
      <c r="D11" s="31" t="s">
        <v>225</v>
      </c>
      <c r="E11" s="46" t="s">
        <v>226</v>
      </c>
      <c r="F11" s="33">
        <v>580.79999999999995</v>
      </c>
      <c r="G11" s="45"/>
      <c r="H11" s="97"/>
    </row>
    <row r="12" spans="1:8" ht="27.95" customHeight="1" x14ac:dyDescent="0.25">
      <c r="A12" s="10">
        <v>7</v>
      </c>
      <c r="B12" s="6" t="s">
        <v>227</v>
      </c>
      <c r="C12" s="6" t="s">
        <v>99</v>
      </c>
      <c r="D12" s="31" t="s">
        <v>228</v>
      </c>
      <c r="E12" s="47" t="s">
        <v>99</v>
      </c>
      <c r="F12" s="33">
        <v>270.60000000000002</v>
      </c>
      <c r="G12" s="48"/>
      <c r="H12" s="97"/>
    </row>
    <row r="13" spans="1:8" ht="27.95" customHeight="1" x14ac:dyDescent="0.25">
      <c r="A13" s="10">
        <v>8</v>
      </c>
      <c r="B13" s="6" t="s">
        <v>229</v>
      </c>
      <c r="C13" s="6" t="s">
        <v>230</v>
      </c>
      <c r="D13" s="31" t="s">
        <v>231</v>
      </c>
      <c r="E13" s="47" t="s">
        <v>230</v>
      </c>
      <c r="F13" s="33">
        <v>871.2</v>
      </c>
      <c r="G13" s="48"/>
      <c r="H13" s="97"/>
    </row>
    <row r="14" spans="1:8" ht="27.95" customHeight="1" x14ac:dyDescent="0.25">
      <c r="A14" s="10">
        <v>9</v>
      </c>
      <c r="B14" s="6" t="s">
        <v>232</v>
      </c>
      <c r="C14" s="6" t="s">
        <v>233</v>
      </c>
      <c r="D14" s="31" t="s">
        <v>234</v>
      </c>
      <c r="E14" s="47" t="s">
        <v>233</v>
      </c>
      <c r="F14" s="33">
        <v>410.28</v>
      </c>
      <c r="G14" s="48"/>
      <c r="H14" s="97"/>
    </row>
    <row r="15" spans="1:8" ht="25.7" customHeight="1" x14ac:dyDescent="0.25">
      <c r="A15" s="35" t="s">
        <v>202</v>
      </c>
      <c r="B15" s="36"/>
      <c r="C15" s="36"/>
      <c r="D15" s="36"/>
      <c r="E15" s="36"/>
      <c r="F15" s="37"/>
      <c r="G15" s="37"/>
      <c r="H15" s="97" t="s">
        <v>69</v>
      </c>
    </row>
    <row r="16" spans="1:8" ht="96" customHeight="1" x14ac:dyDescent="0.25">
      <c r="A16" s="13">
        <v>1</v>
      </c>
      <c r="B16" s="6" t="s">
        <v>235</v>
      </c>
      <c r="C16" s="31" t="s">
        <v>204</v>
      </c>
      <c r="D16" s="31" t="s">
        <v>236</v>
      </c>
      <c r="E16" s="32" t="s">
        <v>206</v>
      </c>
      <c r="F16" s="33">
        <v>2727.45</v>
      </c>
      <c r="G16" s="33">
        <v>340</v>
      </c>
      <c r="H16" s="97"/>
    </row>
    <row r="17" spans="1:8" ht="159" customHeight="1" x14ac:dyDescent="0.25">
      <c r="A17" s="13">
        <v>2</v>
      </c>
      <c r="B17" s="6" t="s">
        <v>207</v>
      </c>
      <c r="C17" s="31" t="s">
        <v>208</v>
      </c>
      <c r="D17" s="31" t="s">
        <v>209</v>
      </c>
      <c r="E17" s="32" t="s">
        <v>210</v>
      </c>
      <c r="F17" s="33">
        <v>2902.44</v>
      </c>
      <c r="G17" s="33"/>
      <c r="H17" s="97"/>
    </row>
    <row r="18" spans="1:8" ht="147.4" customHeight="1" x14ac:dyDescent="0.25">
      <c r="A18" s="13">
        <v>3</v>
      </c>
      <c r="B18" s="6" t="s">
        <v>211</v>
      </c>
      <c r="C18" s="6" t="s">
        <v>212</v>
      </c>
      <c r="D18" s="31" t="s">
        <v>213</v>
      </c>
      <c r="E18" s="43" t="s">
        <v>214</v>
      </c>
      <c r="F18" s="33">
        <v>2151.12</v>
      </c>
      <c r="G18" s="33"/>
      <c r="H18" s="97"/>
    </row>
    <row r="19" spans="1:8" ht="51.4" customHeight="1" x14ac:dyDescent="0.25">
      <c r="A19" s="13">
        <v>4</v>
      </c>
      <c r="B19" s="6" t="s">
        <v>215</v>
      </c>
      <c r="C19" s="6" t="s">
        <v>216</v>
      </c>
      <c r="D19" s="31" t="s">
        <v>217</v>
      </c>
      <c r="E19" s="44" t="s">
        <v>218</v>
      </c>
      <c r="F19" s="33">
        <v>436.08</v>
      </c>
      <c r="G19" s="45"/>
      <c r="H19" s="97"/>
    </row>
    <row r="20" spans="1:8" ht="30" customHeight="1" x14ac:dyDescent="0.25">
      <c r="A20" s="13">
        <v>5</v>
      </c>
      <c r="B20" s="6" t="s">
        <v>219</v>
      </c>
      <c r="C20" s="6" t="s">
        <v>220</v>
      </c>
      <c r="D20" s="31" t="s">
        <v>221</v>
      </c>
      <c r="E20" s="44" t="s">
        <v>222</v>
      </c>
      <c r="F20" s="33">
        <v>436.08</v>
      </c>
      <c r="G20" s="45"/>
      <c r="H20" s="97"/>
    </row>
    <row r="21" spans="1:8" ht="80.650000000000006" customHeight="1" x14ac:dyDescent="0.25">
      <c r="A21" s="10">
        <v>6</v>
      </c>
      <c r="B21" s="6" t="s">
        <v>223</v>
      </c>
      <c r="C21" s="6" t="s">
        <v>224</v>
      </c>
      <c r="D21" s="31" t="s">
        <v>225</v>
      </c>
      <c r="E21" s="46" t="s">
        <v>226</v>
      </c>
      <c r="F21" s="33">
        <v>580.79999999999995</v>
      </c>
      <c r="G21" s="45"/>
      <c r="H21" s="97"/>
    </row>
    <row r="22" spans="1:8" ht="27.95" customHeight="1" x14ac:dyDescent="0.25">
      <c r="A22" s="10">
        <v>7</v>
      </c>
      <c r="B22" s="6" t="s">
        <v>227</v>
      </c>
      <c r="C22" s="6" t="s">
        <v>99</v>
      </c>
      <c r="D22" s="31" t="s">
        <v>228</v>
      </c>
      <c r="E22" s="47" t="s">
        <v>99</v>
      </c>
      <c r="F22" s="33">
        <v>270.60000000000002</v>
      </c>
      <c r="G22" s="48"/>
      <c r="H22" s="97"/>
    </row>
    <row r="23" spans="1:8" ht="27.95" customHeight="1" x14ac:dyDescent="0.25">
      <c r="A23" s="10">
        <v>8</v>
      </c>
      <c r="B23" s="6" t="s">
        <v>229</v>
      </c>
      <c r="C23" s="6" t="s">
        <v>230</v>
      </c>
      <c r="D23" s="31" t="s">
        <v>231</v>
      </c>
      <c r="E23" s="47" t="s">
        <v>230</v>
      </c>
      <c r="F23" s="33">
        <v>871.2</v>
      </c>
      <c r="G23" s="48"/>
      <c r="H23" s="97"/>
    </row>
    <row r="24" spans="1:8" ht="27.95" customHeight="1" x14ac:dyDescent="0.25">
      <c r="A24" s="10">
        <v>9</v>
      </c>
      <c r="B24" s="6" t="s">
        <v>232</v>
      </c>
      <c r="C24" s="6" t="s">
        <v>233</v>
      </c>
      <c r="D24" s="31" t="s">
        <v>234</v>
      </c>
      <c r="E24" s="47" t="s">
        <v>233</v>
      </c>
      <c r="F24" s="33">
        <v>410.28</v>
      </c>
      <c r="G24" s="48"/>
      <c r="H24" s="97"/>
    </row>
    <row r="25" spans="1:8" ht="25.7" customHeight="1" x14ac:dyDescent="0.25">
      <c r="A25" s="35" t="s">
        <v>202</v>
      </c>
      <c r="B25" s="36"/>
      <c r="C25" s="36"/>
      <c r="D25" s="36"/>
      <c r="E25" s="36"/>
      <c r="F25" s="37"/>
      <c r="G25" s="37"/>
      <c r="H25" s="97" t="s">
        <v>237</v>
      </c>
    </row>
    <row r="26" spans="1:8" ht="96" customHeight="1" x14ac:dyDescent="0.25">
      <c r="A26" s="13">
        <v>1</v>
      </c>
      <c r="B26" s="6" t="s">
        <v>238</v>
      </c>
      <c r="C26" s="31" t="s">
        <v>204</v>
      </c>
      <c r="D26" s="31" t="s">
        <v>239</v>
      </c>
      <c r="E26" s="32" t="s">
        <v>206</v>
      </c>
      <c r="F26" s="33">
        <v>2727.45</v>
      </c>
      <c r="G26" s="33">
        <v>340</v>
      </c>
      <c r="H26" s="97"/>
    </row>
    <row r="27" spans="1:8" ht="159" customHeight="1" x14ac:dyDescent="0.25">
      <c r="A27" s="13">
        <v>2</v>
      </c>
      <c r="B27" s="6" t="s">
        <v>207</v>
      </c>
      <c r="C27" s="31" t="s">
        <v>208</v>
      </c>
      <c r="D27" s="31" t="s">
        <v>209</v>
      </c>
      <c r="E27" s="32" t="s">
        <v>210</v>
      </c>
      <c r="F27" s="33">
        <v>2902.44</v>
      </c>
      <c r="G27" s="33"/>
      <c r="H27" s="97"/>
    </row>
    <row r="28" spans="1:8" ht="147.4" customHeight="1" x14ac:dyDescent="0.25">
      <c r="A28" s="13">
        <v>3</v>
      </c>
      <c r="B28" s="6" t="s">
        <v>211</v>
      </c>
      <c r="C28" s="6" t="s">
        <v>212</v>
      </c>
      <c r="D28" s="31" t="s">
        <v>213</v>
      </c>
      <c r="E28" s="43" t="s">
        <v>214</v>
      </c>
      <c r="F28" s="33">
        <v>2151.12</v>
      </c>
      <c r="G28" s="33"/>
      <c r="H28" s="97"/>
    </row>
    <row r="29" spans="1:8" ht="51.4" customHeight="1" x14ac:dyDescent="0.25">
      <c r="A29" s="13">
        <v>4</v>
      </c>
      <c r="B29" s="6" t="s">
        <v>215</v>
      </c>
      <c r="C29" s="6" t="s">
        <v>216</v>
      </c>
      <c r="D29" s="31" t="s">
        <v>217</v>
      </c>
      <c r="E29" s="44" t="s">
        <v>218</v>
      </c>
      <c r="F29" s="33">
        <v>436.08</v>
      </c>
      <c r="G29" s="45"/>
      <c r="H29" s="97"/>
    </row>
    <row r="30" spans="1:8" ht="30" customHeight="1" x14ac:dyDescent="0.25">
      <c r="A30" s="13">
        <v>5</v>
      </c>
      <c r="B30" s="6" t="s">
        <v>219</v>
      </c>
      <c r="C30" s="6" t="s">
        <v>220</v>
      </c>
      <c r="D30" s="31" t="s">
        <v>221</v>
      </c>
      <c r="E30" s="44" t="s">
        <v>222</v>
      </c>
      <c r="F30" s="33">
        <v>436.08</v>
      </c>
      <c r="G30" s="45"/>
      <c r="H30" s="97"/>
    </row>
    <row r="31" spans="1:8" ht="80.650000000000006" customHeight="1" x14ac:dyDescent="0.25">
      <c r="A31" s="10">
        <v>6</v>
      </c>
      <c r="B31" s="6" t="s">
        <v>223</v>
      </c>
      <c r="C31" s="6" t="s">
        <v>224</v>
      </c>
      <c r="D31" s="31" t="s">
        <v>225</v>
      </c>
      <c r="E31" s="46" t="s">
        <v>226</v>
      </c>
      <c r="F31" s="33">
        <v>580.79999999999995</v>
      </c>
      <c r="G31" s="45"/>
      <c r="H31" s="97"/>
    </row>
    <row r="32" spans="1:8" ht="27.95" customHeight="1" x14ac:dyDescent="0.25">
      <c r="A32" s="10">
        <v>7</v>
      </c>
      <c r="B32" s="6" t="s">
        <v>227</v>
      </c>
      <c r="C32" s="6" t="s">
        <v>99</v>
      </c>
      <c r="D32" s="31" t="s">
        <v>228</v>
      </c>
      <c r="E32" s="47" t="s">
        <v>99</v>
      </c>
      <c r="F32" s="33">
        <v>270.60000000000002</v>
      </c>
      <c r="G32" s="48"/>
      <c r="H32" s="97"/>
    </row>
    <row r="33" spans="1:8" ht="27.95" customHeight="1" x14ac:dyDescent="0.25">
      <c r="A33" s="10">
        <v>8</v>
      </c>
      <c r="B33" s="6" t="s">
        <v>229</v>
      </c>
      <c r="C33" s="6" t="s">
        <v>230</v>
      </c>
      <c r="D33" s="31" t="s">
        <v>231</v>
      </c>
      <c r="E33" s="47" t="s">
        <v>230</v>
      </c>
      <c r="F33" s="33">
        <v>871.2</v>
      </c>
      <c r="G33" s="48"/>
      <c r="H33" s="97"/>
    </row>
    <row r="34" spans="1:8" ht="27.95" customHeight="1" x14ac:dyDescent="0.25">
      <c r="A34" s="10">
        <v>9</v>
      </c>
      <c r="B34" s="6" t="s">
        <v>232</v>
      </c>
      <c r="C34" s="6" t="s">
        <v>233</v>
      </c>
      <c r="D34" s="31" t="s">
        <v>234</v>
      </c>
      <c r="E34" s="47" t="s">
        <v>233</v>
      </c>
      <c r="F34" s="33">
        <v>410.28</v>
      </c>
      <c r="G34" s="48"/>
      <c r="H34" s="97"/>
    </row>
    <row r="35" spans="1:8" ht="25.7" customHeight="1" x14ac:dyDescent="0.25">
      <c r="A35" s="35" t="s">
        <v>202</v>
      </c>
      <c r="B35" s="36"/>
      <c r="C35" s="36"/>
      <c r="D35" s="36"/>
      <c r="E35" s="36"/>
      <c r="F35" s="37"/>
      <c r="G35" s="37"/>
      <c r="H35" s="97" t="s">
        <v>78</v>
      </c>
    </row>
    <row r="36" spans="1:8" ht="96" customHeight="1" x14ac:dyDescent="0.25">
      <c r="A36" s="13">
        <v>1</v>
      </c>
      <c r="B36" s="6" t="s">
        <v>240</v>
      </c>
      <c r="C36" s="31" t="s">
        <v>204</v>
      </c>
      <c r="D36" s="31" t="s">
        <v>241</v>
      </c>
      <c r="E36" s="32" t="s">
        <v>206</v>
      </c>
      <c r="F36" s="33">
        <v>2727.45</v>
      </c>
      <c r="G36" s="33">
        <v>340</v>
      </c>
      <c r="H36" s="97"/>
    </row>
    <row r="37" spans="1:8" ht="159" customHeight="1" x14ac:dyDescent="0.25">
      <c r="A37" s="13">
        <v>2</v>
      </c>
      <c r="B37" s="6" t="s">
        <v>207</v>
      </c>
      <c r="C37" s="31" t="s">
        <v>208</v>
      </c>
      <c r="D37" s="31" t="s">
        <v>209</v>
      </c>
      <c r="E37" s="32" t="s">
        <v>210</v>
      </c>
      <c r="F37" s="33">
        <v>2902.44</v>
      </c>
      <c r="G37" s="33"/>
      <c r="H37" s="97"/>
    </row>
    <row r="38" spans="1:8" ht="147.4" customHeight="1" x14ac:dyDescent="0.25">
      <c r="A38" s="13">
        <v>3</v>
      </c>
      <c r="B38" s="6" t="s">
        <v>211</v>
      </c>
      <c r="C38" s="6" t="s">
        <v>212</v>
      </c>
      <c r="D38" s="31" t="s">
        <v>213</v>
      </c>
      <c r="E38" s="43" t="s">
        <v>214</v>
      </c>
      <c r="F38" s="33">
        <v>2151.12</v>
      </c>
      <c r="G38" s="33"/>
      <c r="H38" s="97"/>
    </row>
    <row r="39" spans="1:8" ht="51.4" customHeight="1" x14ac:dyDescent="0.25">
      <c r="A39" s="13">
        <v>4</v>
      </c>
      <c r="B39" s="6" t="s">
        <v>215</v>
      </c>
      <c r="C39" s="6" t="s">
        <v>216</v>
      </c>
      <c r="D39" s="31" t="s">
        <v>217</v>
      </c>
      <c r="E39" s="44" t="s">
        <v>218</v>
      </c>
      <c r="F39" s="33">
        <v>436.08</v>
      </c>
      <c r="G39" s="45"/>
      <c r="H39" s="97"/>
    </row>
    <row r="40" spans="1:8" ht="30" customHeight="1" x14ac:dyDescent="0.25">
      <c r="A40" s="13">
        <v>5</v>
      </c>
      <c r="B40" s="6" t="s">
        <v>219</v>
      </c>
      <c r="C40" s="6" t="s">
        <v>220</v>
      </c>
      <c r="D40" s="31" t="s">
        <v>221</v>
      </c>
      <c r="E40" s="44" t="s">
        <v>222</v>
      </c>
      <c r="F40" s="33">
        <v>436.08</v>
      </c>
      <c r="G40" s="45"/>
      <c r="H40" s="97"/>
    </row>
    <row r="41" spans="1:8" ht="80.650000000000006" customHeight="1" x14ac:dyDescent="0.25">
      <c r="A41" s="10">
        <v>6</v>
      </c>
      <c r="B41" s="6" t="s">
        <v>223</v>
      </c>
      <c r="C41" s="6" t="s">
        <v>224</v>
      </c>
      <c r="D41" s="31" t="s">
        <v>225</v>
      </c>
      <c r="E41" s="46" t="s">
        <v>226</v>
      </c>
      <c r="F41" s="33">
        <v>580.79999999999995</v>
      </c>
      <c r="G41" s="45"/>
      <c r="H41" s="97"/>
    </row>
    <row r="42" spans="1:8" ht="27.95" customHeight="1" x14ac:dyDescent="0.25">
      <c r="A42" s="10">
        <v>7</v>
      </c>
      <c r="B42" s="6" t="s">
        <v>227</v>
      </c>
      <c r="C42" s="6" t="s">
        <v>99</v>
      </c>
      <c r="D42" s="31" t="s">
        <v>228</v>
      </c>
      <c r="E42" s="47" t="s">
        <v>99</v>
      </c>
      <c r="F42" s="33">
        <v>270.60000000000002</v>
      </c>
      <c r="G42" s="48"/>
      <c r="H42" s="97"/>
    </row>
    <row r="43" spans="1:8" ht="27.95" customHeight="1" x14ac:dyDescent="0.25">
      <c r="A43" s="10">
        <v>8</v>
      </c>
      <c r="B43" s="6" t="s">
        <v>229</v>
      </c>
      <c r="C43" s="6" t="s">
        <v>230</v>
      </c>
      <c r="D43" s="31" t="s">
        <v>231</v>
      </c>
      <c r="E43" s="47" t="s">
        <v>230</v>
      </c>
      <c r="F43" s="33">
        <v>871.2</v>
      </c>
      <c r="G43" s="48"/>
      <c r="H43" s="97"/>
    </row>
    <row r="44" spans="1:8" ht="27.95" customHeight="1" x14ac:dyDescent="0.25">
      <c r="A44" s="10">
        <v>9</v>
      </c>
      <c r="B44" s="6" t="s">
        <v>232</v>
      </c>
      <c r="C44" s="6" t="s">
        <v>233</v>
      </c>
      <c r="D44" s="31" t="s">
        <v>234</v>
      </c>
      <c r="E44" s="47" t="s">
        <v>233</v>
      </c>
      <c r="F44" s="33">
        <v>410.28</v>
      </c>
      <c r="G44" s="48"/>
      <c r="H44" s="97"/>
    </row>
    <row r="45" spans="1:8" ht="23.45" customHeight="1" x14ac:dyDescent="0.25">
      <c r="A45" s="28" t="s">
        <v>242</v>
      </c>
      <c r="B45" s="29"/>
      <c r="C45" s="29"/>
      <c r="D45" s="29"/>
      <c r="E45" s="29"/>
      <c r="F45" s="33"/>
      <c r="G45" s="30"/>
      <c r="H45" s="97" t="s">
        <v>52</v>
      </c>
    </row>
    <row r="46" spans="1:8" ht="45" customHeight="1" x14ac:dyDescent="0.25">
      <c r="A46" s="10">
        <v>1</v>
      </c>
      <c r="B46" s="3" t="s">
        <v>243</v>
      </c>
      <c r="C46" s="3" t="s">
        <v>244</v>
      </c>
      <c r="D46" s="3" t="s">
        <v>245</v>
      </c>
      <c r="E46" s="32" t="s">
        <v>246</v>
      </c>
      <c r="F46" s="33">
        <v>3774.65</v>
      </c>
      <c r="G46" s="33">
        <v>340</v>
      </c>
      <c r="H46" s="97"/>
    </row>
    <row r="47" spans="1:8" ht="136.69999999999999" customHeight="1" x14ac:dyDescent="0.25">
      <c r="A47" s="10">
        <v>2</v>
      </c>
      <c r="B47" s="3" t="s">
        <v>247</v>
      </c>
      <c r="C47" s="3" t="s">
        <v>248</v>
      </c>
      <c r="D47" s="3" t="s">
        <v>249</v>
      </c>
      <c r="E47" s="32" t="s">
        <v>250</v>
      </c>
      <c r="F47" s="33">
        <v>4108.5600000000004</v>
      </c>
      <c r="G47" s="33"/>
      <c r="H47" s="97"/>
    </row>
    <row r="48" spans="1:8" ht="116.65" customHeight="1" x14ac:dyDescent="0.25">
      <c r="A48" s="10">
        <v>3</v>
      </c>
      <c r="B48" s="3" t="s">
        <v>251</v>
      </c>
      <c r="C48" s="3" t="s">
        <v>252</v>
      </c>
      <c r="D48" s="3" t="s">
        <v>253</v>
      </c>
      <c r="E48" s="43" t="s">
        <v>254</v>
      </c>
      <c r="F48" s="33">
        <v>3042.6</v>
      </c>
      <c r="G48" s="33"/>
      <c r="H48" s="97"/>
    </row>
    <row r="49" spans="1:8" ht="39.6" customHeight="1" x14ac:dyDescent="0.25">
      <c r="A49" s="10">
        <v>4</v>
      </c>
      <c r="B49" s="3" t="s">
        <v>255</v>
      </c>
      <c r="C49" s="3" t="s">
        <v>256</v>
      </c>
      <c r="D49" s="3" t="s">
        <v>257</v>
      </c>
      <c r="E49" s="44" t="s">
        <v>258</v>
      </c>
      <c r="F49" s="33">
        <v>616.55999999999995</v>
      </c>
      <c r="G49" s="45"/>
      <c r="H49" s="97"/>
    </row>
    <row r="50" spans="1:8" ht="39.6" customHeight="1" x14ac:dyDescent="0.25">
      <c r="A50" s="10">
        <v>5</v>
      </c>
      <c r="B50" s="3" t="s">
        <v>259</v>
      </c>
      <c r="C50" s="3" t="s">
        <v>260</v>
      </c>
      <c r="D50" s="3" t="s">
        <v>261</v>
      </c>
      <c r="E50" s="44" t="s">
        <v>262</v>
      </c>
      <c r="F50" s="33">
        <v>616.55999999999995</v>
      </c>
      <c r="G50" s="45"/>
      <c r="H50" s="97"/>
    </row>
    <row r="51" spans="1:8" ht="27.95" customHeight="1" x14ac:dyDescent="0.25">
      <c r="A51" s="10">
        <v>6</v>
      </c>
      <c r="B51" s="6" t="s">
        <v>263</v>
      </c>
      <c r="C51" s="6" t="s">
        <v>99</v>
      </c>
      <c r="D51" s="6" t="s">
        <v>264</v>
      </c>
      <c r="E51" s="47" t="s">
        <v>99</v>
      </c>
      <c r="F51" s="33">
        <v>373.92</v>
      </c>
      <c r="G51" s="48"/>
      <c r="H51" s="97"/>
    </row>
    <row r="52" spans="1:8" ht="27.95" customHeight="1" x14ac:dyDescent="0.25">
      <c r="A52" s="10">
        <v>7</v>
      </c>
      <c r="B52" s="6" t="s">
        <v>265</v>
      </c>
      <c r="C52" s="6" t="s">
        <v>266</v>
      </c>
      <c r="D52" s="6" t="s">
        <v>267</v>
      </c>
      <c r="E52" s="47" t="s">
        <v>266</v>
      </c>
      <c r="F52" s="33">
        <v>1233.1199999999999</v>
      </c>
      <c r="G52" s="48"/>
      <c r="H52" s="97"/>
    </row>
    <row r="53" spans="1:8" ht="27.95" customHeight="1" x14ac:dyDescent="0.25">
      <c r="A53" s="10">
        <v>8</v>
      </c>
      <c r="B53" s="6" t="s">
        <v>268</v>
      </c>
      <c r="C53" s="6" t="s">
        <v>269</v>
      </c>
      <c r="D53" s="6" t="s">
        <v>270</v>
      </c>
      <c r="E53" s="47" t="s">
        <v>269</v>
      </c>
      <c r="F53" s="33">
        <v>567.12</v>
      </c>
      <c r="G53" s="48"/>
      <c r="H53" s="97"/>
    </row>
    <row r="54" spans="1:8" ht="23.45" customHeight="1" x14ac:dyDescent="0.25">
      <c r="A54" s="28" t="s">
        <v>242</v>
      </c>
      <c r="B54" s="29"/>
      <c r="C54" s="29"/>
      <c r="D54" s="29"/>
      <c r="E54" s="29"/>
      <c r="F54" s="33"/>
      <c r="G54" s="30"/>
      <c r="H54" s="97" t="s">
        <v>69</v>
      </c>
    </row>
    <row r="55" spans="1:8" ht="45" customHeight="1" x14ac:dyDescent="0.25">
      <c r="A55" s="10">
        <v>1</v>
      </c>
      <c r="B55" s="3" t="s">
        <v>271</v>
      </c>
      <c r="C55" s="3" t="s">
        <v>244</v>
      </c>
      <c r="D55" s="3" t="s">
        <v>272</v>
      </c>
      <c r="E55" s="32" t="s">
        <v>246</v>
      </c>
      <c r="F55" s="33">
        <v>3774.65</v>
      </c>
      <c r="G55" s="33">
        <v>340</v>
      </c>
      <c r="H55" s="97"/>
    </row>
    <row r="56" spans="1:8" ht="136.69999999999999" customHeight="1" x14ac:dyDescent="0.25">
      <c r="A56" s="10">
        <v>2</v>
      </c>
      <c r="B56" s="3" t="s">
        <v>247</v>
      </c>
      <c r="C56" s="3" t="s">
        <v>248</v>
      </c>
      <c r="D56" s="3" t="s">
        <v>249</v>
      </c>
      <c r="E56" s="32" t="s">
        <v>250</v>
      </c>
      <c r="F56" s="33">
        <v>4108.5600000000004</v>
      </c>
      <c r="G56" s="33"/>
      <c r="H56" s="97"/>
    </row>
    <row r="57" spans="1:8" ht="116.65" customHeight="1" x14ac:dyDescent="0.25">
      <c r="A57" s="10">
        <v>3</v>
      </c>
      <c r="B57" s="3" t="s">
        <v>251</v>
      </c>
      <c r="C57" s="3" t="s">
        <v>252</v>
      </c>
      <c r="D57" s="3" t="s">
        <v>253</v>
      </c>
      <c r="E57" s="43" t="s">
        <v>254</v>
      </c>
      <c r="F57" s="33">
        <v>3042.6</v>
      </c>
      <c r="G57" s="33"/>
      <c r="H57" s="97"/>
    </row>
    <row r="58" spans="1:8" ht="39.6" customHeight="1" x14ac:dyDescent="0.25">
      <c r="A58" s="10">
        <v>4</v>
      </c>
      <c r="B58" s="3" t="s">
        <v>255</v>
      </c>
      <c r="C58" s="3" t="s">
        <v>256</v>
      </c>
      <c r="D58" s="3" t="s">
        <v>257</v>
      </c>
      <c r="E58" s="44" t="s">
        <v>258</v>
      </c>
      <c r="F58" s="33">
        <v>616.55999999999995</v>
      </c>
      <c r="G58" s="45"/>
      <c r="H58" s="97"/>
    </row>
    <row r="59" spans="1:8" ht="39.6" customHeight="1" x14ac:dyDescent="0.25">
      <c r="A59" s="10">
        <v>5</v>
      </c>
      <c r="B59" s="3" t="s">
        <v>259</v>
      </c>
      <c r="C59" s="3" t="s">
        <v>260</v>
      </c>
      <c r="D59" s="3" t="s">
        <v>261</v>
      </c>
      <c r="E59" s="44" t="s">
        <v>262</v>
      </c>
      <c r="F59" s="33">
        <v>616.55999999999995</v>
      </c>
      <c r="G59" s="45"/>
      <c r="H59" s="97"/>
    </row>
    <row r="60" spans="1:8" ht="27.95" customHeight="1" x14ac:dyDescent="0.25">
      <c r="A60" s="10">
        <v>6</v>
      </c>
      <c r="B60" s="6" t="s">
        <v>263</v>
      </c>
      <c r="C60" s="6" t="s">
        <v>99</v>
      </c>
      <c r="D60" s="6" t="s">
        <v>264</v>
      </c>
      <c r="E60" s="47" t="s">
        <v>99</v>
      </c>
      <c r="F60" s="33">
        <v>373.92</v>
      </c>
      <c r="G60" s="48"/>
      <c r="H60" s="97"/>
    </row>
    <row r="61" spans="1:8" ht="27.95" customHeight="1" x14ac:dyDescent="0.25">
      <c r="A61" s="10">
        <v>7</v>
      </c>
      <c r="B61" s="6" t="s">
        <v>265</v>
      </c>
      <c r="C61" s="6" t="s">
        <v>266</v>
      </c>
      <c r="D61" s="6" t="s">
        <v>267</v>
      </c>
      <c r="E61" s="47" t="s">
        <v>266</v>
      </c>
      <c r="F61" s="33">
        <v>1233.1199999999999</v>
      </c>
      <c r="G61" s="48"/>
      <c r="H61" s="97"/>
    </row>
    <row r="62" spans="1:8" ht="27.95" customHeight="1" x14ac:dyDescent="0.25">
      <c r="A62" s="10">
        <v>8</v>
      </c>
      <c r="B62" s="6" t="s">
        <v>268</v>
      </c>
      <c r="C62" s="6" t="s">
        <v>269</v>
      </c>
      <c r="D62" s="6" t="s">
        <v>270</v>
      </c>
      <c r="E62" s="47" t="s">
        <v>269</v>
      </c>
      <c r="F62" s="33">
        <v>567.12</v>
      </c>
      <c r="G62" s="48"/>
      <c r="H62" s="97"/>
    </row>
    <row r="63" spans="1:8" ht="23.45" customHeight="1" x14ac:dyDescent="0.25">
      <c r="A63" s="28" t="s">
        <v>242</v>
      </c>
      <c r="B63" s="29"/>
      <c r="C63" s="29"/>
      <c r="D63" s="29"/>
      <c r="E63" s="29"/>
      <c r="F63" s="33"/>
      <c r="G63" s="30"/>
      <c r="H63" s="97" t="s">
        <v>237</v>
      </c>
    </row>
    <row r="64" spans="1:8" ht="45" customHeight="1" x14ac:dyDescent="0.25">
      <c r="A64" s="10">
        <v>1</v>
      </c>
      <c r="B64" s="3" t="s">
        <v>273</v>
      </c>
      <c r="C64" s="3" t="s">
        <v>244</v>
      </c>
      <c r="D64" s="3" t="s">
        <v>274</v>
      </c>
      <c r="E64" s="32" t="s">
        <v>246</v>
      </c>
      <c r="F64" s="33">
        <v>3774.65</v>
      </c>
      <c r="G64" s="33">
        <v>340</v>
      </c>
      <c r="H64" s="97"/>
    </row>
    <row r="65" spans="1:8" ht="136.69999999999999" customHeight="1" x14ac:dyDescent="0.25">
      <c r="A65" s="10">
        <v>2</v>
      </c>
      <c r="B65" s="3" t="s">
        <v>247</v>
      </c>
      <c r="C65" s="3" t="s">
        <v>248</v>
      </c>
      <c r="D65" s="3" t="s">
        <v>249</v>
      </c>
      <c r="E65" s="32" t="s">
        <v>250</v>
      </c>
      <c r="F65" s="33">
        <v>4108.5600000000004</v>
      </c>
      <c r="G65" s="33"/>
      <c r="H65" s="97"/>
    </row>
    <row r="66" spans="1:8" ht="116.65" customHeight="1" x14ac:dyDescent="0.25">
      <c r="A66" s="10">
        <v>3</v>
      </c>
      <c r="B66" s="3" t="s">
        <v>251</v>
      </c>
      <c r="C66" s="3" t="s">
        <v>252</v>
      </c>
      <c r="D66" s="3" t="s">
        <v>253</v>
      </c>
      <c r="E66" s="43" t="s">
        <v>254</v>
      </c>
      <c r="F66" s="33">
        <v>3042.6</v>
      </c>
      <c r="G66" s="33"/>
      <c r="H66" s="97"/>
    </row>
    <row r="67" spans="1:8" ht="39.6" customHeight="1" x14ac:dyDescent="0.25">
      <c r="A67" s="10">
        <v>4</v>
      </c>
      <c r="B67" s="3" t="s">
        <v>255</v>
      </c>
      <c r="C67" s="3" t="s">
        <v>256</v>
      </c>
      <c r="D67" s="3" t="s">
        <v>257</v>
      </c>
      <c r="E67" s="44" t="s">
        <v>258</v>
      </c>
      <c r="F67" s="33">
        <v>616.55999999999995</v>
      </c>
      <c r="G67" s="45"/>
      <c r="H67" s="97"/>
    </row>
    <row r="68" spans="1:8" ht="39.6" customHeight="1" x14ac:dyDescent="0.25">
      <c r="A68" s="10">
        <v>5</v>
      </c>
      <c r="B68" s="3" t="s">
        <v>259</v>
      </c>
      <c r="C68" s="3" t="s">
        <v>260</v>
      </c>
      <c r="D68" s="3" t="s">
        <v>261</v>
      </c>
      <c r="E68" s="44" t="s">
        <v>262</v>
      </c>
      <c r="F68" s="33">
        <v>616.55999999999995</v>
      </c>
      <c r="G68" s="45"/>
      <c r="H68" s="97"/>
    </row>
    <row r="69" spans="1:8" ht="27.95" customHeight="1" x14ac:dyDescent="0.25">
      <c r="A69" s="10">
        <v>6</v>
      </c>
      <c r="B69" s="6" t="s">
        <v>263</v>
      </c>
      <c r="C69" s="6" t="s">
        <v>99</v>
      </c>
      <c r="D69" s="6" t="s">
        <v>264</v>
      </c>
      <c r="E69" s="47" t="s">
        <v>99</v>
      </c>
      <c r="F69" s="33">
        <v>373.92</v>
      </c>
      <c r="G69" s="48"/>
      <c r="H69" s="97"/>
    </row>
    <row r="70" spans="1:8" ht="27.95" customHeight="1" x14ac:dyDescent="0.25">
      <c r="A70" s="10">
        <v>7</v>
      </c>
      <c r="B70" s="6" t="s">
        <v>265</v>
      </c>
      <c r="C70" s="6" t="s">
        <v>266</v>
      </c>
      <c r="D70" s="6" t="s">
        <v>267</v>
      </c>
      <c r="E70" s="47" t="s">
        <v>266</v>
      </c>
      <c r="F70" s="33">
        <v>1233.1199999999999</v>
      </c>
      <c r="G70" s="48"/>
      <c r="H70" s="97"/>
    </row>
    <row r="71" spans="1:8" ht="27.95" customHeight="1" x14ac:dyDescent="0.25">
      <c r="A71" s="10">
        <v>8</v>
      </c>
      <c r="B71" s="6" t="s">
        <v>268</v>
      </c>
      <c r="C71" s="6" t="s">
        <v>269</v>
      </c>
      <c r="D71" s="6" t="s">
        <v>270</v>
      </c>
      <c r="E71" s="47" t="s">
        <v>269</v>
      </c>
      <c r="F71" s="33">
        <v>567.12</v>
      </c>
      <c r="G71" s="48"/>
      <c r="H71" s="97"/>
    </row>
    <row r="72" spans="1:8" ht="23.45" customHeight="1" x14ac:dyDescent="0.25">
      <c r="A72" s="28" t="s">
        <v>242</v>
      </c>
      <c r="B72" s="29"/>
      <c r="C72" s="29"/>
      <c r="D72" s="29"/>
      <c r="E72" s="29"/>
      <c r="F72" s="33"/>
      <c r="G72" s="30"/>
      <c r="H72" s="97" t="s">
        <v>78</v>
      </c>
    </row>
    <row r="73" spans="1:8" ht="45" customHeight="1" x14ac:dyDescent="0.25">
      <c r="A73" s="10">
        <v>1</v>
      </c>
      <c r="B73" s="3" t="s">
        <v>275</v>
      </c>
      <c r="C73" s="3" t="s">
        <v>244</v>
      </c>
      <c r="D73" s="3" t="s">
        <v>276</v>
      </c>
      <c r="E73" s="32" t="s">
        <v>246</v>
      </c>
      <c r="F73" s="33">
        <v>3774.65</v>
      </c>
      <c r="G73" s="33">
        <v>340</v>
      </c>
      <c r="H73" s="97"/>
    </row>
    <row r="74" spans="1:8" ht="136.69999999999999" customHeight="1" x14ac:dyDescent="0.25">
      <c r="A74" s="10">
        <v>2</v>
      </c>
      <c r="B74" s="3" t="s">
        <v>247</v>
      </c>
      <c r="C74" s="3" t="s">
        <v>248</v>
      </c>
      <c r="D74" s="3" t="s">
        <v>249</v>
      </c>
      <c r="E74" s="32" t="s">
        <v>250</v>
      </c>
      <c r="F74" s="33">
        <v>4108.5600000000004</v>
      </c>
      <c r="G74" s="33"/>
      <c r="H74" s="97"/>
    </row>
    <row r="75" spans="1:8" ht="116.65" customHeight="1" x14ac:dyDescent="0.25">
      <c r="A75" s="10">
        <v>3</v>
      </c>
      <c r="B75" s="3" t="s">
        <v>251</v>
      </c>
      <c r="C75" s="3" t="s">
        <v>252</v>
      </c>
      <c r="D75" s="3" t="s">
        <v>253</v>
      </c>
      <c r="E75" s="43" t="s">
        <v>254</v>
      </c>
      <c r="F75" s="33">
        <v>3042.6</v>
      </c>
      <c r="G75" s="33"/>
      <c r="H75" s="97"/>
    </row>
    <row r="76" spans="1:8" ht="39.6" customHeight="1" x14ac:dyDescent="0.25">
      <c r="A76" s="10">
        <v>4</v>
      </c>
      <c r="B76" s="3" t="s">
        <v>255</v>
      </c>
      <c r="C76" s="3" t="s">
        <v>256</v>
      </c>
      <c r="D76" s="3" t="s">
        <v>257</v>
      </c>
      <c r="E76" s="44" t="s">
        <v>258</v>
      </c>
      <c r="F76" s="33">
        <v>616.55999999999995</v>
      </c>
      <c r="G76" s="45"/>
      <c r="H76" s="97"/>
    </row>
    <row r="77" spans="1:8" ht="39.6" customHeight="1" x14ac:dyDescent="0.25">
      <c r="A77" s="10">
        <v>5</v>
      </c>
      <c r="B77" s="3" t="s">
        <v>259</v>
      </c>
      <c r="C77" s="3" t="s">
        <v>260</v>
      </c>
      <c r="D77" s="3" t="s">
        <v>261</v>
      </c>
      <c r="E77" s="44" t="s">
        <v>262</v>
      </c>
      <c r="F77" s="33">
        <v>616.55999999999995</v>
      </c>
      <c r="G77" s="45"/>
      <c r="H77" s="97"/>
    </row>
    <row r="78" spans="1:8" ht="27.95" customHeight="1" x14ac:dyDescent="0.25">
      <c r="A78" s="10">
        <v>6</v>
      </c>
      <c r="B78" s="6" t="s">
        <v>263</v>
      </c>
      <c r="C78" s="6" t="s">
        <v>99</v>
      </c>
      <c r="D78" s="6" t="s">
        <v>264</v>
      </c>
      <c r="E78" s="47" t="s">
        <v>99</v>
      </c>
      <c r="F78" s="33">
        <v>373.92</v>
      </c>
      <c r="G78" s="48"/>
      <c r="H78" s="97"/>
    </row>
    <row r="79" spans="1:8" ht="27.95" customHeight="1" x14ac:dyDescent="0.25">
      <c r="A79" s="10">
        <v>7</v>
      </c>
      <c r="B79" s="6" t="s">
        <v>265</v>
      </c>
      <c r="C79" s="6" t="s">
        <v>266</v>
      </c>
      <c r="D79" s="6" t="s">
        <v>267</v>
      </c>
      <c r="E79" s="47" t="s">
        <v>266</v>
      </c>
      <c r="F79" s="33">
        <v>1233.1199999999999</v>
      </c>
      <c r="G79" s="48"/>
      <c r="H79" s="97"/>
    </row>
    <row r="80" spans="1:8" ht="27.95" customHeight="1" x14ac:dyDescent="0.25">
      <c r="A80" s="10">
        <v>8</v>
      </c>
      <c r="B80" s="6" t="s">
        <v>268</v>
      </c>
      <c r="C80" s="6" t="s">
        <v>269</v>
      </c>
      <c r="D80" s="6" t="s">
        <v>270</v>
      </c>
      <c r="E80" s="47" t="s">
        <v>269</v>
      </c>
      <c r="F80" s="33">
        <v>567.12</v>
      </c>
      <c r="G80" s="48"/>
      <c r="H80" s="97"/>
    </row>
    <row r="81" spans="1:8" ht="23.85" customHeight="1" x14ac:dyDescent="0.25">
      <c r="A81" s="35" t="s">
        <v>277</v>
      </c>
      <c r="B81" s="36"/>
      <c r="C81" s="36"/>
      <c r="D81" s="36"/>
      <c r="E81" s="36"/>
      <c r="F81" s="33"/>
      <c r="G81" s="37"/>
      <c r="H81" s="97" t="s">
        <v>52</v>
      </c>
    </row>
    <row r="82" spans="1:8" ht="62.1" customHeight="1" x14ac:dyDescent="0.25">
      <c r="A82" s="13">
        <v>1</v>
      </c>
      <c r="B82" s="6" t="s">
        <v>278</v>
      </c>
      <c r="C82" s="6" t="s">
        <v>279</v>
      </c>
      <c r="D82" s="6" t="s">
        <v>280</v>
      </c>
      <c r="E82" s="32" t="s">
        <v>281</v>
      </c>
      <c r="F82" s="33">
        <v>5665</v>
      </c>
      <c r="G82" s="33">
        <v>390</v>
      </c>
      <c r="H82" s="97"/>
    </row>
    <row r="83" spans="1:8" ht="140.1" customHeight="1" x14ac:dyDescent="0.25">
      <c r="A83" s="13">
        <v>2</v>
      </c>
      <c r="B83" s="6" t="s">
        <v>282</v>
      </c>
      <c r="C83" s="6" t="s">
        <v>283</v>
      </c>
      <c r="D83" s="6" t="s">
        <v>284</v>
      </c>
      <c r="E83" s="32" t="s">
        <v>285</v>
      </c>
      <c r="F83" s="33">
        <v>5311.44</v>
      </c>
      <c r="G83" s="33"/>
      <c r="H83" s="97"/>
    </row>
    <row r="84" spans="1:8" ht="92.65" customHeight="1" x14ac:dyDescent="0.25">
      <c r="A84" s="13">
        <v>3</v>
      </c>
      <c r="B84" s="6" t="s">
        <v>286</v>
      </c>
      <c r="C84" s="6" t="s">
        <v>287</v>
      </c>
      <c r="D84" s="6" t="s">
        <v>288</v>
      </c>
      <c r="E84" s="32" t="s">
        <v>289</v>
      </c>
      <c r="F84" s="33">
        <v>3934.08</v>
      </c>
      <c r="G84" s="33"/>
      <c r="H84" s="97"/>
    </row>
    <row r="85" spans="1:8" ht="56.65" customHeight="1" x14ac:dyDescent="0.25">
      <c r="A85" s="13">
        <v>4</v>
      </c>
      <c r="B85" s="6" t="s">
        <v>290</v>
      </c>
      <c r="C85" s="6" t="s">
        <v>99</v>
      </c>
      <c r="D85" s="6" t="s">
        <v>291</v>
      </c>
      <c r="E85" s="32" t="s">
        <v>99</v>
      </c>
      <c r="F85" s="33">
        <v>561.48</v>
      </c>
      <c r="G85" s="33"/>
      <c r="H85" s="97"/>
    </row>
    <row r="86" spans="1:8" ht="56.65" customHeight="1" x14ac:dyDescent="0.25">
      <c r="A86" s="13">
        <v>5</v>
      </c>
      <c r="B86" s="6" t="s">
        <v>292</v>
      </c>
      <c r="C86" s="6" t="s">
        <v>293</v>
      </c>
      <c r="D86" s="6" t="s">
        <v>294</v>
      </c>
      <c r="E86" s="32" t="s">
        <v>295</v>
      </c>
      <c r="F86" s="33">
        <v>797.04</v>
      </c>
      <c r="G86" s="33"/>
      <c r="H86" s="97"/>
    </row>
    <row r="87" spans="1:8" ht="56.65" customHeight="1" x14ac:dyDescent="0.25">
      <c r="A87" s="13">
        <v>6</v>
      </c>
      <c r="B87" s="6" t="s">
        <v>296</v>
      </c>
      <c r="C87" s="6" t="s">
        <v>297</v>
      </c>
      <c r="D87" s="6" t="s">
        <v>298</v>
      </c>
      <c r="E87" s="32" t="s">
        <v>299</v>
      </c>
      <c r="F87" s="33">
        <v>797.04</v>
      </c>
      <c r="G87" s="33"/>
      <c r="H87" s="97"/>
    </row>
    <row r="88" spans="1:8" ht="56.65" customHeight="1" x14ac:dyDescent="0.25">
      <c r="A88" s="13">
        <v>7</v>
      </c>
      <c r="B88" s="6" t="s">
        <v>300</v>
      </c>
      <c r="C88" s="6" t="s">
        <v>301</v>
      </c>
      <c r="D88" s="6" t="s">
        <v>302</v>
      </c>
      <c r="E88" s="32" t="s">
        <v>303</v>
      </c>
      <c r="F88" s="33">
        <v>1593.36</v>
      </c>
      <c r="G88" s="33"/>
      <c r="H88" s="97"/>
    </row>
    <row r="89" spans="1:8" ht="56.65" customHeight="1" x14ac:dyDescent="0.25">
      <c r="A89" s="13">
        <v>8</v>
      </c>
      <c r="B89" s="6" t="s">
        <v>304</v>
      </c>
      <c r="C89" s="6" t="s">
        <v>305</v>
      </c>
      <c r="D89" s="6" t="s">
        <v>306</v>
      </c>
      <c r="E89" s="32" t="s">
        <v>307</v>
      </c>
      <c r="F89" s="33">
        <v>850.32</v>
      </c>
      <c r="G89" s="33"/>
      <c r="H89" s="97"/>
    </row>
    <row r="90" spans="1:8" ht="23.85" customHeight="1" x14ac:dyDescent="0.25">
      <c r="A90" s="35" t="s">
        <v>277</v>
      </c>
      <c r="B90" s="36"/>
      <c r="C90" s="36"/>
      <c r="D90" s="36"/>
      <c r="E90" s="36"/>
      <c r="F90" s="33"/>
      <c r="G90" s="37"/>
      <c r="H90" s="97" t="s">
        <v>69</v>
      </c>
    </row>
    <row r="91" spans="1:8" ht="62.1" customHeight="1" x14ac:dyDescent="0.25">
      <c r="A91" s="13">
        <v>1</v>
      </c>
      <c r="B91" s="6" t="s">
        <v>308</v>
      </c>
      <c r="C91" s="6" t="s">
        <v>279</v>
      </c>
      <c r="D91" s="6" t="s">
        <v>309</v>
      </c>
      <c r="E91" s="32" t="s">
        <v>281</v>
      </c>
      <c r="F91" s="33">
        <v>5665</v>
      </c>
      <c r="G91" s="33">
        <v>390</v>
      </c>
      <c r="H91" s="97"/>
    </row>
    <row r="92" spans="1:8" ht="140.1" customHeight="1" x14ac:dyDescent="0.25">
      <c r="A92" s="13">
        <v>2</v>
      </c>
      <c r="B92" s="6" t="s">
        <v>282</v>
      </c>
      <c r="C92" s="6" t="s">
        <v>283</v>
      </c>
      <c r="D92" s="6" t="s">
        <v>284</v>
      </c>
      <c r="E92" s="32" t="s">
        <v>285</v>
      </c>
      <c r="F92" s="33">
        <v>5311.44</v>
      </c>
      <c r="G92" s="33"/>
      <c r="H92" s="97"/>
    </row>
    <row r="93" spans="1:8" ht="92.65" customHeight="1" x14ac:dyDescent="0.25">
      <c r="A93" s="13">
        <v>3</v>
      </c>
      <c r="B93" s="6" t="s">
        <v>286</v>
      </c>
      <c r="C93" s="6" t="s">
        <v>287</v>
      </c>
      <c r="D93" s="6" t="s">
        <v>288</v>
      </c>
      <c r="E93" s="32" t="s">
        <v>289</v>
      </c>
      <c r="F93" s="33">
        <v>3934.08</v>
      </c>
      <c r="G93" s="33"/>
      <c r="H93" s="97"/>
    </row>
    <row r="94" spans="1:8" ht="56.65" customHeight="1" x14ac:dyDescent="0.25">
      <c r="A94" s="13">
        <v>4</v>
      </c>
      <c r="B94" s="6" t="s">
        <v>290</v>
      </c>
      <c r="C94" s="6" t="s">
        <v>99</v>
      </c>
      <c r="D94" s="6" t="s">
        <v>291</v>
      </c>
      <c r="E94" s="32" t="s">
        <v>99</v>
      </c>
      <c r="F94" s="33">
        <v>561.48</v>
      </c>
      <c r="G94" s="33"/>
      <c r="H94" s="97"/>
    </row>
    <row r="95" spans="1:8" ht="56.65" customHeight="1" x14ac:dyDescent="0.25">
      <c r="A95" s="13">
        <v>5</v>
      </c>
      <c r="B95" s="6" t="s">
        <v>292</v>
      </c>
      <c r="C95" s="6" t="s">
        <v>293</v>
      </c>
      <c r="D95" s="6" t="s">
        <v>294</v>
      </c>
      <c r="E95" s="32" t="s">
        <v>295</v>
      </c>
      <c r="F95" s="33">
        <v>797.04</v>
      </c>
      <c r="G95" s="33"/>
      <c r="H95" s="97"/>
    </row>
    <row r="96" spans="1:8" ht="56.65" customHeight="1" x14ac:dyDescent="0.25">
      <c r="A96" s="13">
        <v>6</v>
      </c>
      <c r="B96" s="6" t="s">
        <v>296</v>
      </c>
      <c r="C96" s="6" t="s">
        <v>297</v>
      </c>
      <c r="D96" s="6" t="s">
        <v>298</v>
      </c>
      <c r="E96" s="32" t="s">
        <v>299</v>
      </c>
      <c r="F96" s="33">
        <v>797.04</v>
      </c>
      <c r="G96" s="33"/>
      <c r="H96" s="97"/>
    </row>
    <row r="97" spans="1:8" ht="56.65" customHeight="1" x14ac:dyDescent="0.25">
      <c r="A97" s="13">
        <v>7</v>
      </c>
      <c r="B97" s="6" t="s">
        <v>300</v>
      </c>
      <c r="C97" s="6" t="s">
        <v>301</v>
      </c>
      <c r="D97" s="6" t="s">
        <v>302</v>
      </c>
      <c r="E97" s="32" t="s">
        <v>303</v>
      </c>
      <c r="F97" s="33">
        <v>1593.36</v>
      </c>
      <c r="G97" s="33"/>
      <c r="H97" s="97"/>
    </row>
    <row r="98" spans="1:8" ht="56.65" customHeight="1" x14ac:dyDescent="0.25">
      <c r="A98" s="13">
        <v>8</v>
      </c>
      <c r="B98" s="6" t="s">
        <v>304</v>
      </c>
      <c r="C98" s="6" t="s">
        <v>305</v>
      </c>
      <c r="D98" s="6" t="s">
        <v>306</v>
      </c>
      <c r="E98" s="32" t="s">
        <v>307</v>
      </c>
      <c r="F98" s="33">
        <v>850.32</v>
      </c>
      <c r="G98" s="33"/>
      <c r="H98" s="97"/>
    </row>
    <row r="99" spans="1:8" ht="23.85" customHeight="1" x14ac:dyDescent="0.25">
      <c r="A99" s="35" t="s">
        <v>277</v>
      </c>
      <c r="B99" s="36"/>
      <c r="C99" s="36"/>
      <c r="D99" s="36"/>
      <c r="E99" s="36"/>
      <c r="F99" s="33"/>
      <c r="G99" s="37"/>
      <c r="H99" s="97" t="s">
        <v>237</v>
      </c>
    </row>
    <row r="100" spans="1:8" ht="62.1" customHeight="1" x14ac:dyDescent="0.25">
      <c r="A100" s="13">
        <v>1</v>
      </c>
      <c r="B100" s="6" t="s">
        <v>310</v>
      </c>
      <c r="C100" s="6" t="s">
        <v>279</v>
      </c>
      <c r="D100" s="6" t="s">
        <v>311</v>
      </c>
      <c r="E100" s="32" t="s">
        <v>281</v>
      </c>
      <c r="F100" s="33">
        <v>5665</v>
      </c>
      <c r="G100" s="33">
        <v>390</v>
      </c>
      <c r="H100" s="97"/>
    </row>
    <row r="101" spans="1:8" ht="140.1" customHeight="1" x14ac:dyDescent="0.25">
      <c r="A101" s="13">
        <v>2</v>
      </c>
      <c r="B101" s="6" t="s">
        <v>282</v>
      </c>
      <c r="C101" s="6" t="s">
        <v>283</v>
      </c>
      <c r="D101" s="6" t="s">
        <v>284</v>
      </c>
      <c r="E101" s="32" t="s">
        <v>285</v>
      </c>
      <c r="F101" s="33">
        <v>5311.44</v>
      </c>
      <c r="G101" s="33"/>
      <c r="H101" s="97"/>
    </row>
    <row r="102" spans="1:8" ht="92.65" customHeight="1" x14ac:dyDescent="0.25">
      <c r="A102" s="13">
        <v>3</v>
      </c>
      <c r="B102" s="6" t="s">
        <v>286</v>
      </c>
      <c r="C102" s="6" t="s">
        <v>287</v>
      </c>
      <c r="D102" s="6" t="s">
        <v>288</v>
      </c>
      <c r="E102" s="32" t="s">
        <v>289</v>
      </c>
      <c r="F102" s="33">
        <v>3934.08</v>
      </c>
      <c r="G102" s="33"/>
      <c r="H102" s="97"/>
    </row>
    <row r="103" spans="1:8" ht="56.65" customHeight="1" x14ac:dyDescent="0.25">
      <c r="A103" s="13">
        <v>4</v>
      </c>
      <c r="B103" s="6" t="s">
        <v>290</v>
      </c>
      <c r="C103" s="6" t="s">
        <v>99</v>
      </c>
      <c r="D103" s="6" t="s">
        <v>291</v>
      </c>
      <c r="E103" s="32" t="s">
        <v>99</v>
      </c>
      <c r="F103" s="33">
        <v>561.48</v>
      </c>
      <c r="G103" s="33"/>
      <c r="H103" s="97"/>
    </row>
    <row r="104" spans="1:8" ht="56.65" customHeight="1" x14ac:dyDescent="0.25">
      <c r="A104" s="13">
        <v>5</v>
      </c>
      <c r="B104" s="6" t="s">
        <v>292</v>
      </c>
      <c r="C104" s="6" t="s">
        <v>293</v>
      </c>
      <c r="D104" s="6" t="s">
        <v>294</v>
      </c>
      <c r="E104" s="32" t="s">
        <v>295</v>
      </c>
      <c r="F104" s="33">
        <v>797.04</v>
      </c>
      <c r="G104" s="33"/>
      <c r="H104" s="97"/>
    </row>
    <row r="105" spans="1:8" ht="56.65" customHeight="1" x14ac:dyDescent="0.25">
      <c r="A105" s="13">
        <v>6</v>
      </c>
      <c r="B105" s="6" t="s">
        <v>296</v>
      </c>
      <c r="C105" s="6" t="s">
        <v>297</v>
      </c>
      <c r="D105" s="6" t="s">
        <v>298</v>
      </c>
      <c r="E105" s="32" t="s">
        <v>299</v>
      </c>
      <c r="F105" s="33">
        <v>797.04</v>
      </c>
      <c r="G105" s="33"/>
      <c r="H105" s="97"/>
    </row>
    <row r="106" spans="1:8" ht="56.65" customHeight="1" x14ac:dyDescent="0.25">
      <c r="A106" s="13">
        <v>7</v>
      </c>
      <c r="B106" s="6" t="s">
        <v>300</v>
      </c>
      <c r="C106" s="6" t="s">
        <v>301</v>
      </c>
      <c r="D106" s="6" t="s">
        <v>302</v>
      </c>
      <c r="E106" s="32" t="s">
        <v>303</v>
      </c>
      <c r="F106" s="33">
        <v>1593.36</v>
      </c>
      <c r="G106" s="33"/>
      <c r="H106" s="97"/>
    </row>
    <row r="107" spans="1:8" ht="56.65" customHeight="1" x14ac:dyDescent="0.25">
      <c r="A107" s="13">
        <v>8</v>
      </c>
      <c r="B107" s="6" t="s">
        <v>304</v>
      </c>
      <c r="C107" s="6" t="s">
        <v>305</v>
      </c>
      <c r="D107" s="6" t="s">
        <v>306</v>
      </c>
      <c r="E107" s="32" t="s">
        <v>307</v>
      </c>
      <c r="F107" s="33">
        <v>850.32</v>
      </c>
      <c r="G107" s="33"/>
      <c r="H107" s="97"/>
    </row>
    <row r="108" spans="1:8" ht="23.85" customHeight="1" x14ac:dyDescent="0.25">
      <c r="A108" s="35" t="s">
        <v>277</v>
      </c>
      <c r="B108" s="36"/>
      <c r="C108" s="36"/>
      <c r="D108" s="36"/>
      <c r="E108" s="36"/>
      <c r="F108" s="33"/>
      <c r="G108" s="37"/>
      <c r="H108" s="97" t="s">
        <v>78</v>
      </c>
    </row>
    <row r="109" spans="1:8" ht="62.1" customHeight="1" x14ac:dyDescent="0.25">
      <c r="A109" s="13">
        <v>1</v>
      </c>
      <c r="B109" s="6" t="s">
        <v>312</v>
      </c>
      <c r="C109" s="6" t="s">
        <v>279</v>
      </c>
      <c r="D109" s="6" t="s">
        <v>313</v>
      </c>
      <c r="E109" s="32" t="s">
        <v>281</v>
      </c>
      <c r="F109" s="33">
        <v>5665</v>
      </c>
      <c r="G109" s="33">
        <v>390</v>
      </c>
      <c r="H109" s="97"/>
    </row>
    <row r="110" spans="1:8" ht="140.1" customHeight="1" x14ac:dyDescent="0.25">
      <c r="A110" s="13">
        <v>2</v>
      </c>
      <c r="B110" s="6" t="s">
        <v>282</v>
      </c>
      <c r="C110" s="6" t="s">
        <v>283</v>
      </c>
      <c r="D110" s="6" t="s">
        <v>284</v>
      </c>
      <c r="E110" s="32" t="s">
        <v>285</v>
      </c>
      <c r="F110" s="33">
        <v>5311.44</v>
      </c>
      <c r="G110" s="33"/>
      <c r="H110" s="97"/>
    </row>
    <row r="111" spans="1:8" ht="92.65" customHeight="1" x14ac:dyDescent="0.25">
      <c r="A111" s="13">
        <v>3</v>
      </c>
      <c r="B111" s="6" t="s">
        <v>286</v>
      </c>
      <c r="C111" s="6" t="s">
        <v>287</v>
      </c>
      <c r="D111" s="6" t="s">
        <v>288</v>
      </c>
      <c r="E111" s="32" t="s">
        <v>289</v>
      </c>
      <c r="F111" s="33">
        <v>3934.08</v>
      </c>
      <c r="G111" s="33"/>
      <c r="H111" s="97"/>
    </row>
    <row r="112" spans="1:8" ht="56.65" customHeight="1" x14ac:dyDescent="0.25">
      <c r="A112" s="13">
        <v>4</v>
      </c>
      <c r="B112" s="6" t="s">
        <v>290</v>
      </c>
      <c r="C112" s="6" t="s">
        <v>99</v>
      </c>
      <c r="D112" s="6" t="s">
        <v>291</v>
      </c>
      <c r="E112" s="32" t="s">
        <v>99</v>
      </c>
      <c r="F112" s="33">
        <v>561.48</v>
      </c>
      <c r="G112" s="33"/>
      <c r="H112" s="97"/>
    </row>
    <row r="113" spans="1:8" ht="56.65" customHeight="1" x14ac:dyDescent="0.25">
      <c r="A113" s="13">
        <v>5</v>
      </c>
      <c r="B113" s="6" t="s">
        <v>292</v>
      </c>
      <c r="C113" s="6" t="s">
        <v>293</v>
      </c>
      <c r="D113" s="6" t="s">
        <v>294</v>
      </c>
      <c r="E113" s="32" t="s">
        <v>295</v>
      </c>
      <c r="F113" s="33">
        <v>797.04</v>
      </c>
      <c r="G113" s="33"/>
      <c r="H113" s="97"/>
    </row>
    <row r="114" spans="1:8" ht="56.65" customHeight="1" x14ac:dyDescent="0.25">
      <c r="A114" s="13">
        <v>6</v>
      </c>
      <c r="B114" s="6" t="s">
        <v>296</v>
      </c>
      <c r="C114" s="6" t="s">
        <v>297</v>
      </c>
      <c r="D114" s="6" t="s">
        <v>298</v>
      </c>
      <c r="E114" s="32" t="s">
        <v>299</v>
      </c>
      <c r="F114" s="33">
        <v>797.04</v>
      </c>
      <c r="G114" s="33"/>
      <c r="H114" s="97"/>
    </row>
    <row r="115" spans="1:8" ht="56.65" customHeight="1" x14ac:dyDescent="0.25">
      <c r="A115" s="13">
        <v>7</v>
      </c>
      <c r="B115" s="6" t="s">
        <v>300</v>
      </c>
      <c r="C115" s="6" t="s">
        <v>301</v>
      </c>
      <c r="D115" s="6" t="s">
        <v>302</v>
      </c>
      <c r="E115" s="32" t="s">
        <v>303</v>
      </c>
      <c r="F115" s="33">
        <v>1593.36</v>
      </c>
      <c r="G115" s="33"/>
      <c r="H115" s="97"/>
    </row>
    <row r="116" spans="1:8" ht="56.65" customHeight="1" x14ac:dyDescent="0.25">
      <c r="A116" s="13">
        <v>8</v>
      </c>
      <c r="B116" s="6" t="s">
        <v>304</v>
      </c>
      <c r="C116" s="6" t="s">
        <v>305</v>
      </c>
      <c r="D116" s="6" t="s">
        <v>306</v>
      </c>
      <c r="E116" s="32" t="s">
        <v>307</v>
      </c>
      <c r="F116" s="33">
        <v>850.32</v>
      </c>
      <c r="G116" s="33"/>
      <c r="H116" s="97"/>
    </row>
    <row r="117" spans="1:8" ht="21.4" customHeight="1" x14ac:dyDescent="0.25">
      <c r="A117" s="49" t="s">
        <v>314</v>
      </c>
      <c r="B117" s="50"/>
      <c r="C117" s="50"/>
      <c r="D117" s="50"/>
      <c r="E117" s="50"/>
      <c r="F117" s="33"/>
      <c r="G117" s="51"/>
      <c r="H117" s="97" t="s">
        <v>52</v>
      </c>
    </row>
    <row r="118" spans="1:8" ht="45" customHeight="1" x14ac:dyDescent="0.25">
      <c r="A118" s="10">
        <v>1</v>
      </c>
      <c r="B118" s="3" t="s">
        <v>315</v>
      </c>
      <c r="C118" s="3" t="s">
        <v>316</v>
      </c>
      <c r="D118" s="3" t="s">
        <v>317</v>
      </c>
      <c r="E118" s="32" t="s">
        <v>318</v>
      </c>
      <c r="F118" s="33">
        <v>7264.95</v>
      </c>
      <c r="G118" s="33">
        <v>390</v>
      </c>
      <c r="H118" s="97"/>
    </row>
    <row r="119" spans="1:8" ht="152.65" customHeight="1" x14ac:dyDescent="0.25">
      <c r="A119" s="10">
        <v>2</v>
      </c>
      <c r="B119" s="3" t="s">
        <v>319</v>
      </c>
      <c r="C119" s="3" t="s">
        <v>320</v>
      </c>
      <c r="D119" s="3" t="s">
        <v>321</v>
      </c>
      <c r="E119" s="32" t="s">
        <v>322</v>
      </c>
      <c r="F119" s="33">
        <v>7398.12</v>
      </c>
      <c r="G119" s="33"/>
      <c r="H119" s="97"/>
    </row>
    <row r="120" spans="1:8" ht="137.1" customHeight="1" x14ac:dyDescent="0.25">
      <c r="A120" s="10">
        <v>3</v>
      </c>
      <c r="B120" s="3" t="s">
        <v>323</v>
      </c>
      <c r="C120" s="3" t="s">
        <v>324</v>
      </c>
      <c r="D120" s="3" t="s">
        <v>325</v>
      </c>
      <c r="E120" s="32" t="s">
        <v>326</v>
      </c>
      <c r="F120" s="33">
        <v>5479.68</v>
      </c>
      <c r="G120" s="33"/>
      <c r="H120" s="97"/>
    </row>
    <row r="121" spans="1:8" ht="33.200000000000003" customHeight="1" x14ac:dyDescent="0.25">
      <c r="A121" s="10">
        <v>4</v>
      </c>
      <c r="B121" s="3" t="s">
        <v>327</v>
      </c>
      <c r="C121" s="3" t="s">
        <v>328</v>
      </c>
      <c r="D121" s="3" t="s">
        <v>329</v>
      </c>
      <c r="E121" s="44" t="s">
        <v>330</v>
      </c>
      <c r="F121" s="33">
        <v>1110.48</v>
      </c>
      <c r="G121" s="45"/>
      <c r="H121" s="97"/>
    </row>
    <row r="122" spans="1:8" ht="47.65" customHeight="1" x14ac:dyDescent="0.25">
      <c r="A122" s="10">
        <v>5</v>
      </c>
      <c r="B122" s="3" t="s">
        <v>331</v>
      </c>
      <c r="C122" s="3" t="s">
        <v>332</v>
      </c>
      <c r="D122" s="3" t="s">
        <v>333</v>
      </c>
      <c r="E122" s="44" t="s">
        <v>334</v>
      </c>
      <c r="F122" s="33">
        <v>1110.48</v>
      </c>
      <c r="G122" s="45"/>
      <c r="H122" s="97"/>
    </row>
    <row r="123" spans="1:8" ht="42.75" customHeight="1" x14ac:dyDescent="0.25">
      <c r="A123" s="23">
        <v>6</v>
      </c>
      <c r="B123" s="6" t="s">
        <v>335</v>
      </c>
      <c r="C123" s="52" t="s">
        <v>99</v>
      </c>
      <c r="D123" s="52" t="s">
        <v>336</v>
      </c>
      <c r="E123" s="53" t="s">
        <v>99</v>
      </c>
      <c r="F123" s="33">
        <v>719.88</v>
      </c>
      <c r="G123" s="45"/>
      <c r="H123" s="97"/>
    </row>
    <row r="124" spans="1:8" ht="21.4" customHeight="1" x14ac:dyDescent="0.25">
      <c r="A124" s="49" t="s">
        <v>314</v>
      </c>
      <c r="B124" s="50"/>
      <c r="C124" s="50"/>
      <c r="D124" s="50"/>
      <c r="E124" s="50"/>
      <c r="F124" s="33"/>
      <c r="G124" s="51"/>
      <c r="H124" s="97" t="s">
        <v>69</v>
      </c>
    </row>
    <row r="125" spans="1:8" ht="45" customHeight="1" x14ac:dyDescent="0.25">
      <c r="A125" s="10">
        <v>1</v>
      </c>
      <c r="B125" s="3" t="s">
        <v>337</v>
      </c>
      <c r="C125" s="3" t="s">
        <v>316</v>
      </c>
      <c r="D125" s="3" t="s">
        <v>338</v>
      </c>
      <c r="E125" s="32" t="s">
        <v>318</v>
      </c>
      <c r="F125" s="33">
        <v>7264.95</v>
      </c>
      <c r="G125" s="33">
        <v>390</v>
      </c>
      <c r="H125" s="97"/>
    </row>
    <row r="126" spans="1:8" ht="152.65" customHeight="1" x14ac:dyDescent="0.25">
      <c r="A126" s="10">
        <v>2</v>
      </c>
      <c r="B126" s="3" t="s">
        <v>319</v>
      </c>
      <c r="C126" s="3" t="s">
        <v>320</v>
      </c>
      <c r="D126" s="3" t="s">
        <v>321</v>
      </c>
      <c r="E126" s="32" t="s">
        <v>322</v>
      </c>
      <c r="F126" s="33">
        <v>7398.12</v>
      </c>
      <c r="G126" s="33"/>
      <c r="H126" s="97"/>
    </row>
    <row r="127" spans="1:8" ht="137.1" customHeight="1" x14ac:dyDescent="0.25">
      <c r="A127" s="10">
        <v>3</v>
      </c>
      <c r="B127" s="3" t="s">
        <v>323</v>
      </c>
      <c r="C127" s="3" t="s">
        <v>324</v>
      </c>
      <c r="D127" s="3" t="s">
        <v>325</v>
      </c>
      <c r="E127" s="32" t="s">
        <v>326</v>
      </c>
      <c r="F127" s="33">
        <v>5479.68</v>
      </c>
      <c r="G127" s="33"/>
      <c r="H127" s="97"/>
    </row>
    <row r="128" spans="1:8" ht="33.200000000000003" customHeight="1" x14ac:dyDescent="0.25">
      <c r="A128" s="10">
        <v>4</v>
      </c>
      <c r="B128" s="3" t="s">
        <v>327</v>
      </c>
      <c r="C128" s="3" t="s">
        <v>328</v>
      </c>
      <c r="D128" s="3" t="s">
        <v>329</v>
      </c>
      <c r="E128" s="44" t="s">
        <v>330</v>
      </c>
      <c r="F128" s="33">
        <v>1110.48</v>
      </c>
      <c r="G128" s="45"/>
      <c r="H128" s="97"/>
    </row>
    <row r="129" spans="1:8" ht="47.65" customHeight="1" x14ac:dyDescent="0.25">
      <c r="A129" s="10">
        <v>5</v>
      </c>
      <c r="B129" s="3" t="s">
        <v>331</v>
      </c>
      <c r="C129" s="3" t="s">
        <v>332</v>
      </c>
      <c r="D129" s="3" t="s">
        <v>333</v>
      </c>
      <c r="E129" s="44" t="s">
        <v>334</v>
      </c>
      <c r="F129" s="33">
        <v>1110.48</v>
      </c>
      <c r="G129" s="45"/>
      <c r="H129" s="97"/>
    </row>
    <row r="130" spans="1:8" ht="42.75" customHeight="1" x14ac:dyDescent="0.25">
      <c r="A130" s="23">
        <v>6</v>
      </c>
      <c r="B130" s="6" t="s">
        <v>335</v>
      </c>
      <c r="C130" s="52" t="s">
        <v>99</v>
      </c>
      <c r="D130" s="52" t="s">
        <v>336</v>
      </c>
      <c r="E130" s="53" t="s">
        <v>99</v>
      </c>
      <c r="F130" s="33">
        <v>719.88</v>
      </c>
      <c r="G130" s="45"/>
      <c r="H130" s="97"/>
    </row>
    <row r="131" spans="1:8" ht="21.4" customHeight="1" x14ac:dyDescent="0.25">
      <c r="A131" s="49" t="s">
        <v>314</v>
      </c>
      <c r="B131" s="50"/>
      <c r="C131" s="50"/>
      <c r="D131" s="50"/>
      <c r="E131" s="50"/>
      <c r="F131" s="33"/>
      <c r="G131" s="51"/>
      <c r="H131" s="97" t="s">
        <v>237</v>
      </c>
    </row>
    <row r="132" spans="1:8" ht="45" customHeight="1" x14ac:dyDescent="0.25">
      <c r="A132" s="10">
        <v>1</v>
      </c>
      <c r="B132" s="3" t="s">
        <v>339</v>
      </c>
      <c r="C132" s="3" t="s">
        <v>316</v>
      </c>
      <c r="D132" s="3" t="s">
        <v>340</v>
      </c>
      <c r="E132" s="32" t="s">
        <v>318</v>
      </c>
      <c r="F132" s="33">
        <v>7264.95</v>
      </c>
      <c r="G132" s="33">
        <v>390</v>
      </c>
      <c r="H132" s="97"/>
    </row>
    <row r="133" spans="1:8" ht="152.65" customHeight="1" x14ac:dyDescent="0.25">
      <c r="A133" s="10">
        <v>2</v>
      </c>
      <c r="B133" s="3" t="s">
        <v>319</v>
      </c>
      <c r="C133" s="3" t="s">
        <v>320</v>
      </c>
      <c r="D133" s="3" t="s">
        <v>321</v>
      </c>
      <c r="E133" s="32" t="s">
        <v>322</v>
      </c>
      <c r="F133" s="33">
        <v>7398.12</v>
      </c>
      <c r="G133" s="33"/>
      <c r="H133" s="97"/>
    </row>
    <row r="134" spans="1:8" ht="137.1" customHeight="1" x14ac:dyDescent="0.25">
      <c r="A134" s="10">
        <v>3</v>
      </c>
      <c r="B134" s="3" t="s">
        <v>323</v>
      </c>
      <c r="C134" s="3" t="s">
        <v>324</v>
      </c>
      <c r="D134" s="3" t="s">
        <v>325</v>
      </c>
      <c r="E134" s="32" t="s">
        <v>326</v>
      </c>
      <c r="F134" s="33">
        <v>5479.68</v>
      </c>
      <c r="G134" s="33"/>
      <c r="H134" s="97"/>
    </row>
    <row r="135" spans="1:8" ht="33.200000000000003" customHeight="1" x14ac:dyDescent="0.25">
      <c r="A135" s="10">
        <v>4</v>
      </c>
      <c r="B135" s="3" t="s">
        <v>327</v>
      </c>
      <c r="C135" s="3" t="s">
        <v>328</v>
      </c>
      <c r="D135" s="3" t="s">
        <v>329</v>
      </c>
      <c r="E135" s="44" t="s">
        <v>330</v>
      </c>
      <c r="F135" s="33">
        <v>1110.48</v>
      </c>
      <c r="G135" s="45"/>
      <c r="H135" s="97"/>
    </row>
    <row r="136" spans="1:8" ht="47.65" customHeight="1" x14ac:dyDescent="0.25">
      <c r="A136" s="10">
        <v>5</v>
      </c>
      <c r="B136" s="3" t="s">
        <v>331</v>
      </c>
      <c r="C136" s="3" t="s">
        <v>332</v>
      </c>
      <c r="D136" s="3" t="s">
        <v>333</v>
      </c>
      <c r="E136" s="44" t="s">
        <v>334</v>
      </c>
      <c r="F136" s="33">
        <v>1110.48</v>
      </c>
      <c r="G136" s="45"/>
      <c r="H136" s="97"/>
    </row>
    <row r="137" spans="1:8" ht="42.75" customHeight="1" x14ac:dyDescent="0.25">
      <c r="A137" s="23">
        <v>6</v>
      </c>
      <c r="B137" s="6" t="s">
        <v>335</v>
      </c>
      <c r="C137" s="52" t="s">
        <v>99</v>
      </c>
      <c r="D137" s="52" t="s">
        <v>336</v>
      </c>
      <c r="E137" s="53" t="s">
        <v>99</v>
      </c>
      <c r="F137" s="33">
        <v>719.88</v>
      </c>
      <c r="G137" s="45"/>
      <c r="H137" s="97"/>
    </row>
    <row r="138" spans="1:8" ht="21.4" customHeight="1" x14ac:dyDescent="0.25">
      <c r="A138" s="49" t="s">
        <v>314</v>
      </c>
      <c r="B138" s="50"/>
      <c r="C138" s="50"/>
      <c r="D138" s="50"/>
      <c r="E138" s="50"/>
      <c r="F138" s="33"/>
      <c r="G138" s="51"/>
      <c r="H138" s="97" t="s">
        <v>78</v>
      </c>
    </row>
    <row r="139" spans="1:8" ht="45" customHeight="1" x14ac:dyDescent="0.25">
      <c r="A139" s="10">
        <v>1</v>
      </c>
      <c r="B139" s="3" t="s">
        <v>341</v>
      </c>
      <c r="C139" s="3" t="s">
        <v>316</v>
      </c>
      <c r="D139" s="3" t="s">
        <v>342</v>
      </c>
      <c r="E139" s="32" t="s">
        <v>318</v>
      </c>
      <c r="F139" s="33">
        <v>7264.95</v>
      </c>
      <c r="G139" s="33">
        <v>390</v>
      </c>
      <c r="H139" s="97"/>
    </row>
    <row r="140" spans="1:8" ht="152.65" customHeight="1" x14ac:dyDescent="0.25">
      <c r="A140" s="10">
        <v>2</v>
      </c>
      <c r="B140" s="3" t="s">
        <v>319</v>
      </c>
      <c r="C140" s="3" t="s">
        <v>320</v>
      </c>
      <c r="D140" s="3" t="s">
        <v>321</v>
      </c>
      <c r="E140" s="32" t="s">
        <v>322</v>
      </c>
      <c r="F140" s="33">
        <v>7398.12</v>
      </c>
      <c r="G140" s="33"/>
      <c r="H140" s="97"/>
    </row>
    <row r="141" spans="1:8" ht="137.1" customHeight="1" x14ac:dyDescent="0.25">
      <c r="A141" s="10">
        <v>3</v>
      </c>
      <c r="B141" s="3" t="s">
        <v>323</v>
      </c>
      <c r="C141" s="3" t="s">
        <v>324</v>
      </c>
      <c r="D141" s="3" t="s">
        <v>325</v>
      </c>
      <c r="E141" s="32" t="s">
        <v>326</v>
      </c>
      <c r="F141" s="33">
        <v>5479.68</v>
      </c>
      <c r="G141" s="33"/>
      <c r="H141" s="97"/>
    </row>
    <row r="142" spans="1:8" ht="33.200000000000003" customHeight="1" x14ac:dyDescent="0.25">
      <c r="A142" s="10">
        <v>4</v>
      </c>
      <c r="B142" s="3" t="s">
        <v>327</v>
      </c>
      <c r="C142" s="3" t="s">
        <v>328</v>
      </c>
      <c r="D142" s="3" t="s">
        <v>329</v>
      </c>
      <c r="E142" s="44" t="s">
        <v>330</v>
      </c>
      <c r="F142" s="33">
        <v>1110.48</v>
      </c>
      <c r="G142" s="45"/>
      <c r="H142" s="97"/>
    </row>
    <row r="143" spans="1:8" ht="47.65" customHeight="1" x14ac:dyDescent="0.25">
      <c r="A143" s="10">
        <v>5</v>
      </c>
      <c r="B143" s="3" t="s">
        <v>331</v>
      </c>
      <c r="C143" s="3" t="s">
        <v>332</v>
      </c>
      <c r="D143" s="3" t="s">
        <v>333</v>
      </c>
      <c r="E143" s="44" t="s">
        <v>334</v>
      </c>
      <c r="F143" s="33">
        <v>1110.48</v>
      </c>
      <c r="G143" s="45"/>
      <c r="H143" s="97"/>
    </row>
    <row r="144" spans="1:8" ht="42.75" customHeight="1" x14ac:dyDescent="0.25">
      <c r="A144" s="23">
        <v>6</v>
      </c>
      <c r="B144" s="6" t="s">
        <v>335</v>
      </c>
      <c r="C144" s="52" t="s">
        <v>99</v>
      </c>
      <c r="D144" s="52" t="s">
        <v>336</v>
      </c>
      <c r="E144" s="53" t="s">
        <v>99</v>
      </c>
      <c r="F144" s="33">
        <v>719.88</v>
      </c>
      <c r="G144" s="45"/>
      <c r="H144" s="97"/>
    </row>
    <row r="145" spans="1:8" ht="28.9" customHeight="1" x14ac:dyDescent="0.25">
      <c r="A145" s="38" t="s">
        <v>343</v>
      </c>
      <c r="B145" s="39"/>
      <c r="C145" s="39"/>
      <c r="D145" s="39"/>
      <c r="E145" s="39"/>
      <c r="F145" s="33"/>
      <c r="G145" s="40"/>
      <c r="H145" s="97" t="s">
        <v>52</v>
      </c>
    </row>
    <row r="146" spans="1:8" ht="77.099999999999994" customHeight="1" x14ac:dyDescent="0.25">
      <c r="A146" s="10">
        <v>1</v>
      </c>
      <c r="B146" s="31" t="s">
        <v>344</v>
      </c>
      <c r="C146" s="31" t="s">
        <v>345</v>
      </c>
      <c r="D146" s="31" t="s">
        <v>346</v>
      </c>
      <c r="E146" s="32" t="s">
        <v>347</v>
      </c>
      <c r="F146" s="33">
        <v>10827.85</v>
      </c>
      <c r="G146" s="33">
        <v>480</v>
      </c>
      <c r="H146" s="97"/>
    </row>
    <row r="147" spans="1:8" ht="138.94999999999999" customHeight="1" x14ac:dyDescent="0.25">
      <c r="A147" s="10">
        <v>2</v>
      </c>
      <c r="B147" s="6" t="s">
        <v>348</v>
      </c>
      <c r="C147" s="6" t="s">
        <v>349</v>
      </c>
      <c r="D147" s="6" t="s">
        <v>350</v>
      </c>
      <c r="E147" s="32" t="s">
        <v>351</v>
      </c>
      <c r="F147" s="33">
        <v>11113.32</v>
      </c>
      <c r="G147" s="33"/>
      <c r="H147" s="97"/>
    </row>
    <row r="148" spans="1:8" ht="105.95" customHeight="1" x14ac:dyDescent="0.25">
      <c r="A148" s="10">
        <v>3</v>
      </c>
      <c r="B148" s="6" t="s">
        <v>352</v>
      </c>
      <c r="C148" s="6" t="s">
        <v>353</v>
      </c>
      <c r="D148" s="6" t="s">
        <v>354</v>
      </c>
      <c r="E148" s="43" t="s">
        <v>355</v>
      </c>
      <c r="F148" s="33">
        <v>8232.48</v>
      </c>
      <c r="G148" s="33"/>
      <c r="H148" s="97"/>
    </row>
    <row r="149" spans="1:8" ht="27.95" customHeight="1" x14ac:dyDescent="0.25">
      <c r="A149" s="10">
        <v>4</v>
      </c>
      <c r="B149" s="6" t="s">
        <v>356</v>
      </c>
      <c r="C149" s="52" t="s">
        <v>99</v>
      </c>
      <c r="D149" s="52" t="s">
        <v>357</v>
      </c>
      <c r="E149" s="53" t="s">
        <v>99</v>
      </c>
      <c r="F149" s="33">
        <v>1072.56</v>
      </c>
      <c r="G149" s="33"/>
      <c r="H149" s="97"/>
    </row>
    <row r="150" spans="1:8" ht="30" customHeight="1" x14ac:dyDescent="0.25">
      <c r="A150" s="10">
        <v>5</v>
      </c>
      <c r="B150" s="6" t="s">
        <v>358</v>
      </c>
      <c r="C150" s="6" t="s">
        <v>359</v>
      </c>
      <c r="D150" s="6" t="s">
        <v>360</v>
      </c>
      <c r="E150" s="44" t="s">
        <v>361</v>
      </c>
      <c r="F150" s="33">
        <v>1667.04</v>
      </c>
      <c r="G150" s="45"/>
      <c r="H150" s="97"/>
    </row>
    <row r="151" spans="1:8" ht="30" customHeight="1" x14ac:dyDescent="0.25">
      <c r="A151" s="10">
        <v>6</v>
      </c>
      <c r="B151" s="6" t="s">
        <v>362</v>
      </c>
      <c r="C151" s="6" t="s">
        <v>363</v>
      </c>
      <c r="D151" s="6" t="s">
        <v>364</v>
      </c>
      <c r="E151" s="44" t="s">
        <v>365</v>
      </c>
      <c r="F151" s="33">
        <v>1667.04</v>
      </c>
      <c r="G151" s="45"/>
      <c r="H151" s="97"/>
    </row>
    <row r="152" spans="1:8" ht="28.9" customHeight="1" x14ac:dyDescent="0.25">
      <c r="A152" s="38" t="s">
        <v>343</v>
      </c>
      <c r="B152" s="39"/>
      <c r="C152" s="39"/>
      <c r="D152" s="39"/>
      <c r="E152" s="39"/>
      <c r="F152" s="33"/>
      <c r="G152" s="40"/>
      <c r="H152" s="97" t="s">
        <v>69</v>
      </c>
    </row>
    <row r="153" spans="1:8" ht="77.099999999999994" customHeight="1" x14ac:dyDescent="0.25">
      <c r="A153" s="10">
        <v>1</v>
      </c>
      <c r="B153" s="31" t="s">
        <v>366</v>
      </c>
      <c r="C153" s="31" t="s">
        <v>345</v>
      </c>
      <c r="D153" s="31" t="s">
        <v>367</v>
      </c>
      <c r="E153" s="32" t="s">
        <v>347</v>
      </c>
      <c r="F153" s="33">
        <v>10827.85</v>
      </c>
      <c r="G153" s="33">
        <v>480</v>
      </c>
      <c r="H153" s="97"/>
    </row>
    <row r="154" spans="1:8" ht="138.94999999999999" customHeight="1" x14ac:dyDescent="0.25">
      <c r="A154" s="10">
        <v>2</v>
      </c>
      <c r="B154" s="6" t="s">
        <v>348</v>
      </c>
      <c r="C154" s="6" t="s">
        <v>349</v>
      </c>
      <c r="D154" s="6" t="s">
        <v>350</v>
      </c>
      <c r="E154" s="32" t="s">
        <v>351</v>
      </c>
      <c r="F154" s="33">
        <v>11113.32</v>
      </c>
      <c r="G154" s="33"/>
      <c r="H154" s="97"/>
    </row>
    <row r="155" spans="1:8" ht="105.95" customHeight="1" x14ac:dyDescent="0.25">
      <c r="A155" s="10">
        <v>3</v>
      </c>
      <c r="B155" s="6" t="s">
        <v>352</v>
      </c>
      <c r="C155" s="6" t="s">
        <v>353</v>
      </c>
      <c r="D155" s="6" t="s">
        <v>354</v>
      </c>
      <c r="E155" s="43" t="s">
        <v>355</v>
      </c>
      <c r="F155" s="33">
        <v>8232.48</v>
      </c>
      <c r="G155" s="33"/>
      <c r="H155" s="97"/>
    </row>
    <row r="156" spans="1:8" ht="27.95" customHeight="1" x14ac:dyDescent="0.25">
      <c r="A156" s="10">
        <v>4</v>
      </c>
      <c r="B156" s="6" t="s">
        <v>356</v>
      </c>
      <c r="C156" s="52" t="s">
        <v>99</v>
      </c>
      <c r="D156" s="52" t="s">
        <v>357</v>
      </c>
      <c r="E156" s="53" t="s">
        <v>99</v>
      </c>
      <c r="F156" s="33">
        <v>1072.56</v>
      </c>
      <c r="G156" s="33"/>
      <c r="H156" s="97"/>
    </row>
    <row r="157" spans="1:8" ht="30" customHeight="1" x14ac:dyDescent="0.25">
      <c r="A157" s="10">
        <v>5</v>
      </c>
      <c r="B157" s="6" t="s">
        <v>358</v>
      </c>
      <c r="C157" s="6" t="s">
        <v>359</v>
      </c>
      <c r="D157" s="6" t="s">
        <v>360</v>
      </c>
      <c r="E157" s="44" t="s">
        <v>361</v>
      </c>
      <c r="F157" s="33">
        <v>1667.04</v>
      </c>
      <c r="G157" s="45"/>
      <c r="H157" s="97"/>
    </row>
    <row r="158" spans="1:8" ht="30" customHeight="1" x14ac:dyDescent="0.25">
      <c r="A158" s="10">
        <v>6</v>
      </c>
      <c r="B158" s="6" t="s">
        <v>362</v>
      </c>
      <c r="C158" s="6" t="s">
        <v>363</v>
      </c>
      <c r="D158" s="6" t="s">
        <v>364</v>
      </c>
      <c r="E158" s="44" t="s">
        <v>365</v>
      </c>
      <c r="F158" s="33">
        <v>1667.04</v>
      </c>
      <c r="G158" s="45"/>
      <c r="H158" s="97"/>
    </row>
    <row r="159" spans="1:8" ht="28.9" customHeight="1" x14ac:dyDescent="0.25">
      <c r="A159" s="38" t="s">
        <v>343</v>
      </c>
      <c r="B159" s="39"/>
      <c r="C159" s="39"/>
      <c r="D159" s="39"/>
      <c r="E159" s="39"/>
      <c r="F159" s="33"/>
      <c r="G159" s="40"/>
      <c r="H159" s="97" t="s">
        <v>237</v>
      </c>
    </row>
    <row r="160" spans="1:8" ht="77.099999999999994" customHeight="1" x14ac:dyDescent="0.25">
      <c r="A160" s="10">
        <v>1</v>
      </c>
      <c r="B160" s="31" t="s">
        <v>368</v>
      </c>
      <c r="C160" s="31" t="s">
        <v>345</v>
      </c>
      <c r="D160" s="31" t="s">
        <v>369</v>
      </c>
      <c r="E160" s="32" t="s">
        <v>347</v>
      </c>
      <c r="F160" s="33">
        <v>10827.85</v>
      </c>
      <c r="G160" s="33">
        <v>480</v>
      </c>
      <c r="H160" s="97"/>
    </row>
    <row r="161" spans="1:8" ht="138.94999999999999" customHeight="1" x14ac:dyDescent="0.25">
      <c r="A161" s="10">
        <v>2</v>
      </c>
      <c r="B161" s="6" t="s">
        <v>348</v>
      </c>
      <c r="C161" s="6" t="s">
        <v>349</v>
      </c>
      <c r="D161" s="6" t="s">
        <v>350</v>
      </c>
      <c r="E161" s="32" t="s">
        <v>351</v>
      </c>
      <c r="F161" s="33">
        <v>11113.32</v>
      </c>
      <c r="G161" s="33"/>
      <c r="H161" s="97"/>
    </row>
    <row r="162" spans="1:8" ht="105.95" customHeight="1" x14ac:dyDescent="0.25">
      <c r="A162" s="10">
        <v>3</v>
      </c>
      <c r="B162" s="6" t="s">
        <v>352</v>
      </c>
      <c r="C162" s="6" t="s">
        <v>353</v>
      </c>
      <c r="D162" s="6" t="s">
        <v>354</v>
      </c>
      <c r="E162" s="43" t="s">
        <v>355</v>
      </c>
      <c r="F162" s="33">
        <v>8232.48</v>
      </c>
      <c r="G162" s="33"/>
      <c r="H162" s="97"/>
    </row>
    <row r="163" spans="1:8" ht="27.95" customHeight="1" x14ac:dyDescent="0.25">
      <c r="A163" s="10">
        <v>4</v>
      </c>
      <c r="B163" s="6" t="s">
        <v>356</v>
      </c>
      <c r="C163" s="52" t="s">
        <v>99</v>
      </c>
      <c r="D163" s="52" t="s">
        <v>357</v>
      </c>
      <c r="E163" s="53" t="s">
        <v>99</v>
      </c>
      <c r="F163" s="33">
        <v>1072.56</v>
      </c>
      <c r="G163" s="33"/>
      <c r="H163" s="97"/>
    </row>
    <row r="164" spans="1:8" ht="30" customHeight="1" x14ac:dyDescent="0.25">
      <c r="A164" s="10">
        <v>5</v>
      </c>
      <c r="B164" s="6" t="s">
        <v>358</v>
      </c>
      <c r="C164" s="6" t="s">
        <v>359</v>
      </c>
      <c r="D164" s="6" t="s">
        <v>360</v>
      </c>
      <c r="E164" s="44" t="s">
        <v>361</v>
      </c>
      <c r="F164" s="33">
        <v>1667.04</v>
      </c>
      <c r="G164" s="45"/>
      <c r="H164" s="97"/>
    </row>
    <row r="165" spans="1:8" ht="30" customHeight="1" x14ac:dyDescent="0.25">
      <c r="A165" s="10">
        <v>6</v>
      </c>
      <c r="B165" s="6" t="s">
        <v>362</v>
      </c>
      <c r="C165" s="6" t="s">
        <v>363</v>
      </c>
      <c r="D165" s="6" t="s">
        <v>364</v>
      </c>
      <c r="E165" s="44" t="s">
        <v>365</v>
      </c>
      <c r="F165" s="33">
        <v>1667.04</v>
      </c>
      <c r="G165" s="45"/>
      <c r="H165" s="97"/>
    </row>
    <row r="166" spans="1:8" ht="28.9" customHeight="1" x14ac:dyDescent="0.25">
      <c r="A166" s="38" t="s">
        <v>343</v>
      </c>
      <c r="B166" s="39"/>
      <c r="C166" s="39"/>
      <c r="D166" s="39"/>
      <c r="E166" s="39"/>
      <c r="F166" s="33"/>
      <c r="G166" s="40"/>
      <c r="H166" s="97" t="s">
        <v>78</v>
      </c>
    </row>
    <row r="167" spans="1:8" ht="77.099999999999994" customHeight="1" x14ac:dyDescent="0.25">
      <c r="A167" s="10">
        <v>1</v>
      </c>
      <c r="B167" s="31" t="s">
        <v>370</v>
      </c>
      <c r="C167" s="31" t="s">
        <v>345</v>
      </c>
      <c r="D167" s="31" t="s">
        <v>371</v>
      </c>
      <c r="E167" s="32" t="s">
        <v>347</v>
      </c>
      <c r="F167" s="33">
        <v>10827.85</v>
      </c>
      <c r="G167" s="33">
        <v>480</v>
      </c>
      <c r="H167" s="97"/>
    </row>
    <row r="168" spans="1:8" ht="138.94999999999999" customHeight="1" x14ac:dyDescent="0.25">
      <c r="A168" s="10">
        <v>2</v>
      </c>
      <c r="B168" s="6" t="s">
        <v>348</v>
      </c>
      <c r="C168" s="6" t="s">
        <v>349</v>
      </c>
      <c r="D168" s="6" t="s">
        <v>350</v>
      </c>
      <c r="E168" s="32" t="s">
        <v>351</v>
      </c>
      <c r="F168" s="33">
        <v>11113.32</v>
      </c>
      <c r="G168" s="33"/>
      <c r="H168" s="97"/>
    </row>
    <row r="169" spans="1:8" ht="105.95" customHeight="1" x14ac:dyDescent="0.25">
      <c r="A169" s="10">
        <v>3</v>
      </c>
      <c r="B169" s="6" t="s">
        <v>352</v>
      </c>
      <c r="C169" s="6" t="s">
        <v>353</v>
      </c>
      <c r="D169" s="6" t="s">
        <v>354</v>
      </c>
      <c r="E169" s="43" t="s">
        <v>355</v>
      </c>
      <c r="F169" s="33">
        <v>8232.48</v>
      </c>
      <c r="G169" s="33"/>
      <c r="H169" s="97"/>
    </row>
    <row r="170" spans="1:8" ht="27.95" customHeight="1" x14ac:dyDescent="0.25">
      <c r="A170" s="10">
        <v>4</v>
      </c>
      <c r="B170" s="6" t="s">
        <v>356</v>
      </c>
      <c r="C170" s="52" t="s">
        <v>99</v>
      </c>
      <c r="D170" s="52" t="s">
        <v>357</v>
      </c>
      <c r="E170" s="53" t="s">
        <v>99</v>
      </c>
      <c r="F170" s="33">
        <v>1072.56</v>
      </c>
      <c r="G170" s="33"/>
      <c r="H170" s="97"/>
    </row>
    <row r="171" spans="1:8" ht="30" customHeight="1" x14ac:dyDescent="0.25">
      <c r="A171" s="10">
        <v>5</v>
      </c>
      <c r="B171" s="6" t="s">
        <v>358</v>
      </c>
      <c r="C171" s="6" t="s">
        <v>359</v>
      </c>
      <c r="D171" s="6" t="s">
        <v>360</v>
      </c>
      <c r="E171" s="44" t="s">
        <v>361</v>
      </c>
      <c r="F171" s="33">
        <v>1667.04</v>
      </c>
      <c r="G171" s="45"/>
      <c r="H171" s="97"/>
    </row>
    <row r="172" spans="1:8" ht="30" customHeight="1" x14ac:dyDescent="0.25">
      <c r="A172" s="10">
        <v>6</v>
      </c>
      <c r="B172" s="6" t="s">
        <v>362</v>
      </c>
      <c r="C172" s="6" t="s">
        <v>363</v>
      </c>
      <c r="D172" s="6" t="s">
        <v>364</v>
      </c>
      <c r="E172" s="44" t="s">
        <v>365</v>
      </c>
      <c r="F172" s="33">
        <v>1667.04</v>
      </c>
      <c r="G172" s="45"/>
      <c r="H172" s="97"/>
    </row>
    <row r="173" spans="1:8" ht="24.6" customHeight="1" x14ac:dyDescent="0.25">
      <c r="A173" s="35" t="s">
        <v>372</v>
      </c>
      <c r="B173" s="36"/>
      <c r="C173" s="36"/>
      <c r="D173" s="36"/>
      <c r="E173" s="36"/>
      <c r="F173" s="33"/>
      <c r="G173" s="37"/>
      <c r="H173" s="97" t="s">
        <v>52</v>
      </c>
    </row>
    <row r="174" spans="1:8" ht="58.15" customHeight="1" x14ac:dyDescent="0.25">
      <c r="A174" s="10">
        <v>1</v>
      </c>
      <c r="B174" s="6" t="s">
        <v>373</v>
      </c>
      <c r="C174" s="6" t="s">
        <v>374</v>
      </c>
      <c r="D174" s="6" t="s">
        <v>375</v>
      </c>
      <c r="E174" s="32" t="s">
        <v>376</v>
      </c>
      <c r="F174" s="33">
        <v>14536.5</v>
      </c>
      <c r="G174" s="33">
        <v>480</v>
      </c>
      <c r="H174" s="97"/>
    </row>
    <row r="175" spans="1:8" ht="140.44999999999999" customHeight="1" x14ac:dyDescent="0.25">
      <c r="A175" s="10">
        <v>2</v>
      </c>
      <c r="B175" s="31" t="s">
        <v>377</v>
      </c>
      <c r="C175" s="31" t="s">
        <v>378</v>
      </c>
      <c r="D175" s="31" t="s">
        <v>379</v>
      </c>
      <c r="E175" s="32" t="s">
        <v>380</v>
      </c>
      <c r="F175" s="33">
        <v>46967.040000000001</v>
      </c>
      <c r="G175" s="33"/>
      <c r="H175" s="97"/>
    </row>
    <row r="176" spans="1:8" ht="39.200000000000003" customHeight="1" x14ac:dyDescent="0.25">
      <c r="A176" s="10">
        <v>3</v>
      </c>
      <c r="B176" s="6" t="s">
        <v>381</v>
      </c>
      <c r="C176" s="6" t="s">
        <v>382</v>
      </c>
      <c r="D176" s="6" t="s">
        <v>383</v>
      </c>
      <c r="E176" s="44" t="s">
        <v>384</v>
      </c>
      <c r="F176" s="33">
        <v>2349.12</v>
      </c>
      <c r="G176" s="45"/>
      <c r="H176" s="97"/>
    </row>
    <row r="177" spans="1:8" ht="42.75" customHeight="1" x14ac:dyDescent="0.25">
      <c r="A177" s="10">
        <v>4</v>
      </c>
      <c r="B177" s="6" t="s">
        <v>385</v>
      </c>
      <c r="C177" s="6" t="s">
        <v>386</v>
      </c>
      <c r="D177" s="6" t="s">
        <v>387</v>
      </c>
      <c r="E177" s="44" t="s">
        <v>388</v>
      </c>
      <c r="F177" s="33">
        <v>7047.36</v>
      </c>
      <c r="G177" s="45"/>
      <c r="H177" s="97"/>
    </row>
    <row r="178" spans="1:8" ht="42.75" customHeight="1" x14ac:dyDescent="0.25">
      <c r="A178" s="23">
        <v>5</v>
      </c>
      <c r="B178" s="6" t="s">
        <v>389</v>
      </c>
      <c r="C178" s="52" t="s">
        <v>99</v>
      </c>
      <c r="D178" s="52" t="s">
        <v>390</v>
      </c>
      <c r="E178" s="53" t="s">
        <v>99</v>
      </c>
      <c r="F178" s="33">
        <v>1439.88</v>
      </c>
      <c r="G178" s="45"/>
      <c r="H178" s="97"/>
    </row>
    <row r="179" spans="1:8" ht="24.6" customHeight="1" x14ac:dyDescent="0.25">
      <c r="A179" s="35" t="s">
        <v>372</v>
      </c>
      <c r="B179" s="36"/>
      <c r="C179" s="36"/>
      <c r="D179" s="36"/>
      <c r="E179" s="36"/>
      <c r="F179" s="33"/>
      <c r="G179" s="37"/>
      <c r="H179" s="97" t="s">
        <v>69</v>
      </c>
    </row>
    <row r="180" spans="1:8" ht="58.15" customHeight="1" x14ac:dyDescent="0.25">
      <c r="A180" s="10">
        <v>1</v>
      </c>
      <c r="B180" s="6" t="s">
        <v>391</v>
      </c>
      <c r="C180" s="6" t="s">
        <v>374</v>
      </c>
      <c r="D180" s="6" t="s">
        <v>392</v>
      </c>
      <c r="E180" s="32" t="s">
        <v>376</v>
      </c>
      <c r="F180" s="33">
        <v>14536.5</v>
      </c>
      <c r="G180" s="33">
        <v>480</v>
      </c>
      <c r="H180" s="97"/>
    </row>
    <row r="181" spans="1:8" ht="140.44999999999999" customHeight="1" x14ac:dyDescent="0.25">
      <c r="A181" s="10">
        <v>2</v>
      </c>
      <c r="B181" s="31" t="s">
        <v>377</v>
      </c>
      <c r="C181" s="31" t="s">
        <v>378</v>
      </c>
      <c r="D181" s="31" t="s">
        <v>379</v>
      </c>
      <c r="E181" s="32" t="s">
        <v>380</v>
      </c>
      <c r="F181" s="33">
        <v>46967.040000000001</v>
      </c>
      <c r="G181" s="33"/>
      <c r="H181" s="97"/>
    </row>
    <row r="182" spans="1:8" ht="39.200000000000003" customHeight="1" x14ac:dyDescent="0.25">
      <c r="A182" s="10">
        <v>3</v>
      </c>
      <c r="B182" s="6" t="s">
        <v>381</v>
      </c>
      <c r="C182" s="6" t="s">
        <v>382</v>
      </c>
      <c r="D182" s="6" t="s">
        <v>383</v>
      </c>
      <c r="E182" s="44" t="s">
        <v>384</v>
      </c>
      <c r="F182" s="33">
        <v>2349.12</v>
      </c>
      <c r="G182" s="45"/>
      <c r="H182" s="97"/>
    </row>
    <row r="183" spans="1:8" ht="42.75" customHeight="1" x14ac:dyDescent="0.25">
      <c r="A183" s="10">
        <v>4</v>
      </c>
      <c r="B183" s="6" t="s">
        <v>385</v>
      </c>
      <c r="C183" s="6" t="s">
        <v>386</v>
      </c>
      <c r="D183" s="6" t="s">
        <v>387</v>
      </c>
      <c r="E183" s="44" t="s">
        <v>388</v>
      </c>
      <c r="F183" s="33">
        <v>7047.36</v>
      </c>
      <c r="G183" s="45"/>
      <c r="H183" s="97"/>
    </row>
    <row r="184" spans="1:8" ht="42.75" customHeight="1" x14ac:dyDescent="0.25">
      <c r="A184" s="23">
        <v>5</v>
      </c>
      <c r="B184" s="6" t="s">
        <v>389</v>
      </c>
      <c r="C184" s="52" t="s">
        <v>99</v>
      </c>
      <c r="D184" s="52" t="s">
        <v>390</v>
      </c>
      <c r="E184" s="53" t="s">
        <v>99</v>
      </c>
      <c r="F184" s="33">
        <v>1439.88</v>
      </c>
      <c r="G184" s="45"/>
      <c r="H184" s="97"/>
    </row>
    <row r="185" spans="1:8" ht="24.6" customHeight="1" x14ac:dyDescent="0.25">
      <c r="A185" s="35" t="s">
        <v>372</v>
      </c>
      <c r="B185" s="36"/>
      <c r="C185" s="36"/>
      <c r="D185" s="36"/>
      <c r="E185" s="36"/>
      <c r="F185" s="33"/>
      <c r="G185" s="37"/>
      <c r="H185" s="97" t="s">
        <v>237</v>
      </c>
    </row>
    <row r="186" spans="1:8" ht="58.15" customHeight="1" x14ac:dyDescent="0.25">
      <c r="A186" s="10">
        <v>1</v>
      </c>
      <c r="B186" s="6" t="s">
        <v>393</v>
      </c>
      <c r="C186" s="6" t="s">
        <v>374</v>
      </c>
      <c r="D186" s="6" t="s">
        <v>394</v>
      </c>
      <c r="E186" s="32" t="s">
        <v>376</v>
      </c>
      <c r="F186" s="33">
        <v>14536.5</v>
      </c>
      <c r="G186" s="33">
        <v>480</v>
      </c>
      <c r="H186" s="97"/>
    </row>
    <row r="187" spans="1:8" ht="140.44999999999999" customHeight="1" x14ac:dyDescent="0.25">
      <c r="A187" s="10">
        <v>2</v>
      </c>
      <c r="B187" s="31" t="s">
        <v>377</v>
      </c>
      <c r="C187" s="31" t="s">
        <v>378</v>
      </c>
      <c r="D187" s="31" t="s">
        <v>379</v>
      </c>
      <c r="E187" s="32" t="s">
        <v>380</v>
      </c>
      <c r="F187" s="33">
        <v>46967.040000000001</v>
      </c>
      <c r="G187" s="33"/>
      <c r="H187" s="97"/>
    </row>
    <row r="188" spans="1:8" ht="39.200000000000003" customHeight="1" x14ac:dyDescent="0.25">
      <c r="A188" s="10">
        <v>3</v>
      </c>
      <c r="B188" s="6" t="s">
        <v>381</v>
      </c>
      <c r="C188" s="6" t="s">
        <v>382</v>
      </c>
      <c r="D188" s="6" t="s">
        <v>383</v>
      </c>
      <c r="E188" s="44" t="s">
        <v>384</v>
      </c>
      <c r="F188" s="33">
        <v>2349.12</v>
      </c>
      <c r="G188" s="45"/>
      <c r="H188" s="97"/>
    </row>
    <row r="189" spans="1:8" ht="42.75" customHeight="1" x14ac:dyDescent="0.25">
      <c r="A189" s="10">
        <v>4</v>
      </c>
      <c r="B189" s="6" t="s">
        <v>385</v>
      </c>
      <c r="C189" s="6" t="s">
        <v>386</v>
      </c>
      <c r="D189" s="6" t="s">
        <v>387</v>
      </c>
      <c r="E189" s="44" t="s">
        <v>388</v>
      </c>
      <c r="F189" s="33">
        <v>7047.36</v>
      </c>
      <c r="G189" s="45"/>
      <c r="H189" s="97"/>
    </row>
    <row r="190" spans="1:8" ht="42.75" customHeight="1" x14ac:dyDescent="0.25">
      <c r="A190" s="23">
        <v>5</v>
      </c>
      <c r="B190" s="6" t="s">
        <v>389</v>
      </c>
      <c r="C190" s="52" t="s">
        <v>99</v>
      </c>
      <c r="D190" s="52" t="s">
        <v>390</v>
      </c>
      <c r="E190" s="53" t="s">
        <v>99</v>
      </c>
      <c r="F190" s="33">
        <v>1439.88</v>
      </c>
      <c r="G190" s="45"/>
      <c r="H190" s="97"/>
    </row>
    <row r="191" spans="1:8" ht="24.6" customHeight="1" x14ac:dyDescent="0.25">
      <c r="A191" s="35" t="s">
        <v>372</v>
      </c>
      <c r="B191" s="36"/>
      <c r="C191" s="36"/>
      <c r="D191" s="36"/>
      <c r="E191" s="36"/>
      <c r="F191" s="33"/>
      <c r="G191" s="37"/>
      <c r="H191" s="97" t="s">
        <v>78</v>
      </c>
    </row>
    <row r="192" spans="1:8" ht="58.15" customHeight="1" x14ac:dyDescent="0.25">
      <c r="A192" s="10">
        <v>1</v>
      </c>
      <c r="B192" s="6" t="s">
        <v>395</v>
      </c>
      <c r="C192" s="6" t="s">
        <v>374</v>
      </c>
      <c r="D192" s="6" t="s">
        <v>396</v>
      </c>
      <c r="E192" s="32" t="s">
        <v>376</v>
      </c>
      <c r="F192" s="33">
        <v>14536.5</v>
      </c>
      <c r="G192" s="33">
        <v>480</v>
      </c>
      <c r="H192" s="97"/>
    </row>
    <row r="193" spans="1:8" ht="140.44999999999999" customHeight="1" x14ac:dyDescent="0.25">
      <c r="A193" s="10">
        <v>2</v>
      </c>
      <c r="B193" s="31" t="s">
        <v>377</v>
      </c>
      <c r="C193" s="31" t="s">
        <v>378</v>
      </c>
      <c r="D193" s="31" t="s">
        <v>379</v>
      </c>
      <c r="E193" s="32" t="s">
        <v>380</v>
      </c>
      <c r="F193" s="33">
        <v>46967.040000000001</v>
      </c>
      <c r="G193" s="33"/>
      <c r="H193" s="97"/>
    </row>
    <row r="194" spans="1:8" ht="39.200000000000003" customHeight="1" x14ac:dyDescent="0.25">
      <c r="A194" s="10">
        <v>3</v>
      </c>
      <c r="B194" s="6" t="s">
        <v>381</v>
      </c>
      <c r="C194" s="6" t="s">
        <v>382</v>
      </c>
      <c r="D194" s="6" t="s">
        <v>383</v>
      </c>
      <c r="E194" s="44" t="s">
        <v>384</v>
      </c>
      <c r="F194" s="33">
        <v>2349.12</v>
      </c>
      <c r="G194" s="45"/>
      <c r="H194" s="97"/>
    </row>
    <row r="195" spans="1:8" ht="42.75" customHeight="1" x14ac:dyDescent="0.25">
      <c r="A195" s="10">
        <v>4</v>
      </c>
      <c r="B195" s="6" t="s">
        <v>385</v>
      </c>
      <c r="C195" s="6" t="s">
        <v>386</v>
      </c>
      <c r="D195" s="6" t="s">
        <v>387</v>
      </c>
      <c r="E195" s="44" t="s">
        <v>388</v>
      </c>
      <c r="F195" s="33">
        <v>7047.36</v>
      </c>
      <c r="G195" s="45"/>
      <c r="H195" s="97"/>
    </row>
    <row r="196" spans="1:8" ht="42.75" customHeight="1" x14ac:dyDescent="0.25">
      <c r="A196" s="23">
        <v>5</v>
      </c>
      <c r="B196" s="6" t="s">
        <v>389</v>
      </c>
      <c r="C196" s="52" t="s">
        <v>99</v>
      </c>
      <c r="D196" s="52" t="s">
        <v>390</v>
      </c>
      <c r="E196" s="53" t="s">
        <v>99</v>
      </c>
      <c r="F196" s="33">
        <v>1439.88</v>
      </c>
      <c r="G196" s="45"/>
      <c r="H196" s="97"/>
    </row>
  </sheetData>
  <mergeCells count="27">
    <mergeCell ref="H185:H190"/>
    <mergeCell ref="H191:H196"/>
    <mergeCell ref="H152:H158"/>
    <mergeCell ref="H159:H165"/>
    <mergeCell ref="H166:H172"/>
    <mergeCell ref="H173:H178"/>
    <mergeCell ref="H179:H184"/>
    <mergeCell ref="H117:H123"/>
    <mergeCell ref="H124:H130"/>
    <mergeCell ref="H131:H137"/>
    <mergeCell ref="H138:H144"/>
    <mergeCell ref="H145:H151"/>
    <mergeCell ref="H72:H80"/>
    <mergeCell ref="H81:H89"/>
    <mergeCell ref="H90:H98"/>
    <mergeCell ref="H99:H107"/>
    <mergeCell ref="H108:H116"/>
    <mergeCell ref="H25:H34"/>
    <mergeCell ref="H35:H44"/>
    <mergeCell ref="H45:H53"/>
    <mergeCell ref="H54:H62"/>
    <mergeCell ref="H63:H71"/>
    <mergeCell ref="A1:F1"/>
    <mergeCell ref="A2:B2"/>
    <mergeCell ref="E2:F2"/>
    <mergeCell ref="H5:H14"/>
    <mergeCell ref="H15:H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4"/>
  <sheetViews>
    <sheetView zoomScale="80" zoomScaleNormal="90" workbookViewId="0">
      <selection activeCell="D7" sqref="D7"/>
    </sheetView>
  </sheetViews>
  <sheetFormatPr defaultColWidth="9" defaultRowHeight="14.25" customHeight="1" x14ac:dyDescent="0.25"/>
  <cols>
    <col min="1" max="1" width="17.5703125" style="54" customWidth="1"/>
    <col min="2" max="2" width="23" style="54" customWidth="1"/>
    <col min="3" max="3" width="56.42578125" style="54" customWidth="1"/>
    <col min="4" max="4" width="61.5703125" style="55" customWidth="1"/>
    <col min="5" max="5" width="89.85546875" style="54" customWidth="1"/>
    <col min="6" max="7" width="19.85546875" style="54" customWidth="1"/>
    <col min="8" max="8" width="14.7109375" style="54" customWidth="1"/>
    <col min="9" max="9" width="9" style="54" customWidth="1"/>
    <col min="10" max="16384" width="9" style="54"/>
  </cols>
  <sheetData>
    <row r="1" spans="1:8" ht="31.7" customHeight="1" x14ac:dyDescent="0.25">
      <c r="A1" s="98" t="s">
        <v>397</v>
      </c>
      <c r="B1" s="98"/>
      <c r="C1" s="98"/>
      <c r="D1" s="98"/>
      <c r="E1" s="98"/>
      <c r="F1" s="98"/>
    </row>
    <row r="2" spans="1:8" ht="20.25" customHeight="1" x14ac:dyDescent="0.25">
      <c r="A2" s="99" t="s">
        <v>42</v>
      </c>
      <c r="B2" s="99"/>
      <c r="C2" s="56"/>
    </row>
    <row r="3" spans="1:8" x14ac:dyDescent="0.25"/>
    <row r="4" spans="1:8" ht="36.4" customHeight="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7" t="s">
        <v>48</v>
      </c>
      <c r="G4" s="27" t="s">
        <v>49</v>
      </c>
      <c r="H4" s="27" t="s">
        <v>50</v>
      </c>
    </row>
    <row r="5" spans="1:8" ht="26.1" customHeight="1" x14ac:dyDescent="0.25">
      <c r="A5" s="57" t="s">
        <v>398</v>
      </c>
      <c r="B5" s="58"/>
      <c r="C5" s="58"/>
      <c r="D5" s="58"/>
      <c r="E5" s="58"/>
      <c r="F5" s="59"/>
      <c r="G5" s="59"/>
      <c r="H5" s="97" t="s">
        <v>52</v>
      </c>
    </row>
    <row r="6" spans="1:8" ht="111.95" customHeight="1" x14ac:dyDescent="0.25">
      <c r="A6" s="13">
        <v>1</v>
      </c>
      <c r="B6" s="6" t="s">
        <v>399</v>
      </c>
      <c r="C6" s="31" t="s">
        <v>400</v>
      </c>
      <c r="D6" s="31" t="s">
        <v>401</v>
      </c>
      <c r="E6" s="32" t="s">
        <v>402</v>
      </c>
      <c r="F6" s="33">
        <v>22462.55</v>
      </c>
      <c r="G6" s="33"/>
      <c r="H6" s="97"/>
    </row>
    <row r="7" spans="1:8" ht="210.4" customHeight="1" x14ac:dyDescent="0.25">
      <c r="A7" s="13">
        <v>2</v>
      </c>
      <c r="B7" s="6" t="s">
        <v>403</v>
      </c>
      <c r="C7" s="31" t="s">
        <v>404</v>
      </c>
      <c r="D7" s="31" t="s">
        <v>405</v>
      </c>
      <c r="E7" s="32" t="s">
        <v>406</v>
      </c>
      <c r="F7" s="33">
        <v>21904.32</v>
      </c>
      <c r="G7" s="33"/>
      <c r="H7" s="97"/>
    </row>
    <row r="8" spans="1:8" ht="40.700000000000003" customHeight="1" x14ac:dyDescent="0.25">
      <c r="A8" s="13">
        <v>3</v>
      </c>
      <c r="B8" s="6" t="s">
        <v>407</v>
      </c>
      <c r="C8" s="31" t="s">
        <v>408</v>
      </c>
      <c r="D8" s="31" t="s">
        <v>409</v>
      </c>
      <c r="E8" s="32" t="s">
        <v>410</v>
      </c>
      <c r="F8" s="33">
        <v>3286.8</v>
      </c>
      <c r="G8" s="33"/>
      <c r="H8" s="97"/>
    </row>
    <row r="9" spans="1:8" ht="42.75" customHeight="1" x14ac:dyDescent="0.25">
      <c r="A9" s="13">
        <v>4</v>
      </c>
      <c r="B9" s="6" t="s">
        <v>411</v>
      </c>
      <c r="C9" s="31" t="s">
        <v>412</v>
      </c>
      <c r="D9" s="31" t="s">
        <v>413</v>
      </c>
      <c r="E9" s="32" t="s">
        <v>414</v>
      </c>
      <c r="F9" s="33">
        <v>3286.8</v>
      </c>
      <c r="G9" s="33"/>
      <c r="H9" s="97"/>
    </row>
    <row r="10" spans="1:8" ht="24.6" customHeight="1" x14ac:dyDescent="0.25">
      <c r="A10" s="57" t="s">
        <v>398</v>
      </c>
      <c r="B10" s="58"/>
      <c r="C10" s="58"/>
      <c r="D10" s="58"/>
      <c r="E10" s="58"/>
      <c r="F10" s="59"/>
      <c r="G10" s="59"/>
      <c r="H10" s="97" t="s">
        <v>69</v>
      </c>
    </row>
    <row r="11" spans="1:8" ht="111.95" customHeight="1" x14ac:dyDescent="0.25">
      <c r="A11" s="13">
        <v>1</v>
      </c>
      <c r="B11" s="6" t="s">
        <v>415</v>
      </c>
      <c r="C11" s="31" t="s">
        <v>400</v>
      </c>
      <c r="D11" s="31" t="s">
        <v>416</v>
      </c>
      <c r="E11" s="32" t="s">
        <v>402</v>
      </c>
      <c r="F11" s="33">
        <v>22462.55</v>
      </c>
      <c r="G11" s="33"/>
      <c r="H11" s="97"/>
    </row>
    <row r="12" spans="1:8" ht="210.4" customHeight="1" x14ac:dyDescent="0.25">
      <c r="A12" s="13">
        <v>2</v>
      </c>
      <c r="B12" s="6" t="s">
        <v>403</v>
      </c>
      <c r="C12" s="31" t="s">
        <v>404</v>
      </c>
      <c r="D12" s="31" t="s">
        <v>405</v>
      </c>
      <c r="E12" s="32" t="s">
        <v>406</v>
      </c>
      <c r="F12" s="33">
        <v>21904.32</v>
      </c>
      <c r="G12" s="33"/>
      <c r="H12" s="97"/>
    </row>
    <row r="13" spans="1:8" ht="40.700000000000003" customHeight="1" x14ac:dyDescent="0.25">
      <c r="A13" s="13">
        <v>3</v>
      </c>
      <c r="B13" s="6" t="s">
        <v>407</v>
      </c>
      <c r="C13" s="31" t="s">
        <v>408</v>
      </c>
      <c r="D13" s="31" t="s">
        <v>409</v>
      </c>
      <c r="E13" s="32" t="s">
        <v>410</v>
      </c>
      <c r="F13" s="33">
        <v>3286.8</v>
      </c>
      <c r="G13" s="33"/>
      <c r="H13" s="97"/>
    </row>
    <row r="14" spans="1:8" ht="42.75" customHeight="1" x14ac:dyDescent="0.25">
      <c r="A14" s="13">
        <v>4</v>
      </c>
      <c r="B14" s="6" t="s">
        <v>411</v>
      </c>
      <c r="C14" s="31" t="s">
        <v>412</v>
      </c>
      <c r="D14" s="31" t="s">
        <v>413</v>
      </c>
      <c r="E14" s="32" t="s">
        <v>414</v>
      </c>
      <c r="F14" s="33">
        <v>3286.8</v>
      </c>
      <c r="G14" s="33"/>
      <c r="H14" s="97"/>
    </row>
    <row r="15" spans="1:8" ht="25.35" customHeight="1" x14ac:dyDescent="0.25">
      <c r="A15" s="57" t="s">
        <v>398</v>
      </c>
      <c r="B15" s="58"/>
      <c r="C15" s="58"/>
      <c r="D15" s="58"/>
      <c r="E15" s="58"/>
      <c r="F15" s="59"/>
      <c r="G15" s="59"/>
      <c r="H15" s="97" t="s">
        <v>237</v>
      </c>
    </row>
    <row r="16" spans="1:8" ht="111.95" customHeight="1" x14ac:dyDescent="0.25">
      <c r="A16" s="13">
        <v>1</v>
      </c>
      <c r="B16" s="6" t="s">
        <v>417</v>
      </c>
      <c r="C16" s="31" t="s">
        <v>400</v>
      </c>
      <c r="D16" s="31" t="s">
        <v>418</v>
      </c>
      <c r="E16" s="32" t="s">
        <v>402</v>
      </c>
      <c r="F16" s="33">
        <v>22462.55</v>
      </c>
      <c r="G16" s="33"/>
      <c r="H16" s="97"/>
    </row>
    <row r="17" spans="1:8" ht="210.4" customHeight="1" x14ac:dyDescent="0.25">
      <c r="A17" s="13">
        <v>2</v>
      </c>
      <c r="B17" s="6" t="s">
        <v>403</v>
      </c>
      <c r="C17" s="31" t="s">
        <v>404</v>
      </c>
      <c r="D17" s="31" t="s">
        <v>405</v>
      </c>
      <c r="E17" s="32" t="s">
        <v>406</v>
      </c>
      <c r="F17" s="33">
        <v>21904.32</v>
      </c>
      <c r="G17" s="33"/>
      <c r="H17" s="97"/>
    </row>
    <row r="18" spans="1:8" ht="40.700000000000003" customHeight="1" x14ac:dyDescent="0.25">
      <c r="A18" s="13">
        <v>3</v>
      </c>
      <c r="B18" s="6" t="s">
        <v>407</v>
      </c>
      <c r="C18" s="31" t="s">
        <v>408</v>
      </c>
      <c r="D18" s="31" t="s">
        <v>409</v>
      </c>
      <c r="E18" s="32" t="s">
        <v>410</v>
      </c>
      <c r="F18" s="33">
        <v>3286.8</v>
      </c>
      <c r="G18" s="33"/>
      <c r="H18" s="97"/>
    </row>
    <row r="19" spans="1:8" ht="42.75" customHeight="1" x14ac:dyDescent="0.25">
      <c r="A19" s="13">
        <v>4</v>
      </c>
      <c r="B19" s="6" t="s">
        <v>411</v>
      </c>
      <c r="C19" s="31" t="s">
        <v>412</v>
      </c>
      <c r="D19" s="31" t="s">
        <v>413</v>
      </c>
      <c r="E19" s="32" t="s">
        <v>414</v>
      </c>
      <c r="F19" s="33">
        <v>3286.8</v>
      </c>
      <c r="G19" s="33"/>
      <c r="H19" s="97"/>
    </row>
    <row r="20" spans="1:8" ht="25.7" customHeight="1" x14ac:dyDescent="0.25">
      <c r="A20" s="57" t="s">
        <v>398</v>
      </c>
      <c r="B20" s="58"/>
      <c r="C20" s="58"/>
      <c r="D20" s="58"/>
      <c r="E20" s="58"/>
      <c r="F20" s="59"/>
      <c r="G20" s="59"/>
      <c r="H20" s="97" t="s">
        <v>78</v>
      </c>
    </row>
    <row r="21" spans="1:8" ht="111.95" customHeight="1" x14ac:dyDescent="0.25">
      <c r="A21" s="13">
        <v>1</v>
      </c>
      <c r="B21" s="6" t="s">
        <v>419</v>
      </c>
      <c r="C21" s="31" t="s">
        <v>400</v>
      </c>
      <c r="D21" s="31" t="s">
        <v>420</v>
      </c>
      <c r="E21" s="32" t="s">
        <v>402</v>
      </c>
      <c r="F21" s="33">
        <v>22462.55</v>
      </c>
      <c r="G21" s="33"/>
      <c r="H21" s="97"/>
    </row>
    <row r="22" spans="1:8" ht="210.4" customHeight="1" x14ac:dyDescent="0.25">
      <c r="A22" s="13">
        <v>2</v>
      </c>
      <c r="B22" s="6" t="s">
        <v>403</v>
      </c>
      <c r="C22" s="31" t="s">
        <v>404</v>
      </c>
      <c r="D22" s="31" t="s">
        <v>405</v>
      </c>
      <c r="E22" s="32" t="s">
        <v>406</v>
      </c>
      <c r="F22" s="33">
        <v>21904.32</v>
      </c>
      <c r="G22" s="33"/>
      <c r="H22" s="97"/>
    </row>
    <row r="23" spans="1:8" ht="40.700000000000003" customHeight="1" x14ac:dyDescent="0.25">
      <c r="A23" s="13">
        <v>3</v>
      </c>
      <c r="B23" s="6" t="s">
        <v>407</v>
      </c>
      <c r="C23" s="31" t="s">
        <v>408</v>
      </c>
      <c r="D23" s="31" t="s">
        <v>409</v>
      </c>
      <c r="E23" s="32" t="s">
        <v>410</v>
      </c>
      <c r="F23" s="33">
        <v>3286.8</v>
      </c>
      <c r="G23" s="33"/>
      <c r="H23" s="97"/>
    </row>
    <row r="24" spans="1:8" ht="42.75" customHeight="1" x14ac:dyDescent="0.25">
      <c r="A24" s="13">
        <v>4</v>
      </c>
      <c r="B24" s="6" t="s">
        <v>411</v>
      </c>
      <c r="C24" s="31" t="s">
        <v>412</v>
      </c>
      <c r="D24" s="31" t="s">
        <v>413</v>
      </c>
      <c r="E24" s="32" t="s">
        <v>414</v>
      </c>
      <c r="F24" s="33">
        <v>3286.8</v>
      </c>
      <c r="G24" s="33"/>
      <c r="H24" s="97"/>
    </row>
    <row r="25" spans="1:8" ht="15" x14ac:dyDescent="0.25">
      <c r="A25" s="49" t="s">
        <v>421</v>
      </c>
      <c r="B25" s="50"/>
      <c r="C25" s="50"/>
      <c r="D25" s="50"/>
      <c r="E25" s="50"/>
      <c r="F25" s="51"/>
      <c r="G25" s="51"/>
      <c r="H25" s="97" t="s">
        <v>52</v>
      </c>
    </row>
    <row r="26" spans="1:8" ht="51" customHeight="1" x14ac:dyDescent="0.25">
      <c r="A26" s="13">
        <v>1</v>
      </c>
      <c r="B26" s="6" t="s">
        <v>422</v>
      </c>
      <c r="C26" s="31" t="s">
        <v>423</v>
      </c>
      <c r="D26" s="31" t="s">
        <v>424</v>
      </c>
      <c r="E26" s="32" t="s">
        <v>425</v>
      </c>
      <c r="F26" s="33">
        <v>34896.400000000001</v>
      </c>
      <c r="G26" s="33"/>
      <c r="H26" s="97"/>
    </row>
    <row r="27" spans="1:8" ht="134.1" customHeight="1" x14ac:dyDescent="0.25">
      <c r="A27" s="13">
        <v>2</v>
      </c>
      <c r="B27" s="6" t="s">
        <v>426</v>
      </c>
      <c r="C27" s="31" t="s">
        <v>427</v>
      </c>
      <c r="D27" s="31" t="s">
        <v>428</v>
      </c>
      <c r="E27" s="32" t="s">
        <v>429</v>
      </c>
      <c r="F27" s="33">
        <v>32516.639999999999</v>
      </c>
      <c r="G27" s="33"/>
      <c r="H27" s="97"/>
    </row>
    <row r="28" spans="1:8" ht="36.75" customHeight="1" x14ac:dyDescent="0.25">
      <c r="A28" s="13">
        <v>3</v>
      </c>
      <c r="B28" s="6" t="s">
        <v>430</v>
      </c>
      <c r="C28" s="31" t="s">
        <v>431</v>
      </c>
      <c r="D28" s="31" t="s">
        <v>432</v>
      </c>
      <c r="E28" s="32" t="s">
        <v>433</v>
      </c>
      <c r="F28" s="33">
        <v>4877.3999999999996</v>
      </c>
      <c r="G28" s="33"/>
      <c r="H28" s="97"/>
    </row>
    <row r="29" spans="1:8" ht="40.35" customHeight="1" x14ac:dyDescent="0.25">
      <c r="A29" s="13">
        <v>4</v>
      </c>
      <c r="B29" s="6" t="s">
        <v>434</v>
      </c>
      <c r="C29" s="31" t="s">
        <v>435</v>
      </c>
      <c r="D29" s="31" t="s">
        <v>436</v>
      </c>
      <c r="E29" s="32" t="s">
        <v>437</v>
      </c>
      <c r="F29" s="33">
        <v>4877.3999999999996</v>
      </c>
      <c r="G29" s="33"/>
      <c r="H29" s="97"/>
    </row>
    <row r="30" spans="1:8" ht="15" x14ac:dyDescent="0.25">
      <c r="A30" s="49" t="s">
        <v>421</v>
      </c>
      <c r="B30" s="50"/>
      <c r="C30" s="50"/>
      <c r="D30" s="50"/>
      <c r="E30" s="50"/>
      <c r="F30" s="51"/>
      <c r="G30" s="51"/>
      <c r="H30" s="97" t="s">
        <v>69</v>
      </c>
    </row>
    <row r="31" spans="1:8" ht="51" customHeight="1" x14ac:dyDescent="0.25">
      <c r="A31" s="13">
        <v>1</v>
      </c>
      <c r="B31" s="6" t="s">
        <v>438</v>
      </c>
      <c r="C31" s="31" t="s">
        <v>423</v>
      </c>
      <c r="D31" s="31" t="s">
        <v>439</v>
      </c>
      <c r="E31" s="32" t="s">
        <v>425</v>
      </c>
      <c r="F31" s="33">
        <v>34896.400000000001</v>
      </c>
      <c r="G31" s="33"/>
      <c r="H31" s="97"/>
    </row>
    <row r="32" spans="1:8" ht="134.1" customHeight="1" x14ac:dyDescent="0.25">
      <c r="A32" s="13">
        <v>2</v>
      </c>
      <c r="B32" s="6" t="s">
        <v>426</v>
      </c>
      <c r="C32" s="31" t="s">
        <v>427</v>
      </c>
      <c r="D32" s="31" t="s">
        <v>428</v>
      </c>
      <c r="E32" s="32" t="s">
        <v>429</v>
      </c>
      <c r="F32" s="33">
        <v>32516.639999999999</v>
      </c>
      <c r="G32" s="33"/>
      <c r="H32" s="97"/>
    </row>
    <row r="33" spans="1:8" ht="36.75" customHeight="1" x14ac:dyDescent="0.25">
      <c r="A33" s="13">
        <v>3</v>
      </c>
      <c r="B33" s="6" t="s">
        <v>430</v>
      </c>
      <c r="C33" s="31" t="s">
        <v>431</v>
      </c>
      <c r="D33" s="31" t="s">
        <v>432</v>
      </c>
      <c r="E33" s="32" t="s">
        <v>433</v>
      </c>
      <c r="F33" s="33">
        <v>4877.3999999999996</v>
      </c>
      <c r="G33" s="33"/>
      <c r="H33" s="97"/>
    </row>
    <row r="34" spans="1:8" ht="40.35" customHeight="1" x14ac:dyDescent="0.25">
      <c r="A34" s="13">
        <v>4</v>
      </c>
      <c r="B34" s="6" t="s">
        <v>434</v>
      </c>
      <c r="C34" s="31" t="s">
        <v>435</v>
      </c>
      <c r="D34" s="31" t="s">
        <v>436</v>
      </c>
      <c r="E34" s="32" t="s">
        <v>437</v>
      </c>
      <c r="F34" s="33">
        <v>4877.3999999999996</v>
      </c>
      <c r="G34" s="33"/>
      <c r="H34" s="97"/>
    </row>
    <row r="35" spans="1:8" ht="15" x14ac:dyDescent="0.25">
      <c r="A35" s="49" t="s">
        <v>421</v>
      </c>
      <c r="B35" s="50"/>
      <c r="C35" s="50"/>
      <c r="D35" s="50"/>
      <c r="E35" s="50"/>
      <c r="F35" s="51"/>
      <c r="G35" s="51"/>
      <c r="H35" s="97" t="s">
        <v>237</v>
      </c>
    </row>
    <row r="36" spans="1:8" ht="51" customHeight="1" x14ac:dyDescent="0.25">
      <c r="A36" s="13">
        <v>1</v>
      </c>
      <c r="B36" s="6" t="s">
        <v>440</v>
      </c>
      <c r="C36" s="31" t="s">
        <v>423</v>
      </c>
      <c r="D36" s="31" t="s">
        <v>441</v>
      </c>
      <c r="E36" s="32" t="s">
        <v>425</v>
      </c>
      <c r="F36" s="33">
        <v>34896.400000000001</v>
      </c>
      <c r="G36" s="33"/>
      <c r="H36" s="97"/>
    </row>
    <row r="37" spans="1:8" ht="134.1" customHeight="1" x14ac:dyDescent="0.25">
      <c r="A37" s="13">
        <v>2</v>
      </c>
      <c r="B37" s="6" t="s">
        <v>426</v>
      </c>
      <c r="C37" s="31" t="s">
        <v>427</v>
      </c>
      <c r="D37" s="31" t="s">
        <v>428</v>
      </c>
      <c r="E37" s="32" t="s">
        <v>429</v>
      </c>
      <c r="F37" s="33">
        <v>32516.639999999999</v>
      </c>
      <c r="G37" s="33"/>
      <c r="H37" s="97"/>
    </row>
    <row r="38" spans="1:8" ht="36.75" customHeight="1" x14ac:dyDescent="0.25">
      <c r="A38" s="13">
        <v>3</v>
      </c>
      <c r="B38" s="6" t="s">
        <v>430</v>
      </c>
      <c r="C38" s="31" t="s">
        <v>431</v>
      </c>
      <c r="D38" s="31" t="s">
        <v>432</v>
      </c>
      <c r="E38" s="32" t="s">
        <v>433</v>
      </c>
      <c r="F38" s="33">
        <v>4877.3999999999996</v>
      </c>
      <c r="G38" s="33"/>
      <c r="H38" s="97"/>
    </row>
    <row r="39" spans="1:8" ht="40.35" customHeight="1" x14ac:dyDescent="0.25">
      <c r="A39" s="13">
        <v>4</v>
      </c>
      <c r="B39" s="6" t="s">
        <v>434</v>
      </c>
      <c r="C39" s="31" t="s">
        <v>435</v>
      </c>
      <c r="D39" s="31" t="s">
        <v>436</v>
      </c>
      <c r="E39" s="32" t="s">
        <v>437</v>
      </c>
      <c r="F39" s="33">
        <v>4877.3999999999996</v>
      </c>
      <c r="G39" s="33"/>
      <c r="H39" s="97"/>
    </row>
    <row r="40" spans="1:8" ht="15" x14ac:dyDescent="0.25">
      <c r="A40" s="49" t="s">
        <v>421</v>
      </c>
      <c r="B40" s="50"/>
      <c r="C40" s="50"/>
      <c r="D40" s="50"/>
      <c r="E40" s="50"/>
      <c r="F40" s="51"/>
      <c r="G40" s="51"/>
      <c r="H40" s="97" t="s">
        <v>78</v>
      </c>
    </row>
    <row r="41" spans="1:8" ht="51" customHeight="1" x14ac:dyDescent="0.25">
      <c r="A41" s="13">
        <v>1</v>
      </c>
      <c r="B41" s="6" t="s">
        <v>442</v>
      </c>
      <c r="C41" s="31" t="s">
        <v>423</v>
      </c>
      <c r="D41" s="31" t="s">
        <v>443</v>
      </c>
      <c r="E41" s="32" t="s">
        <v>425</v>
      </c>
      <c r="F41" s="33">
        <v>34896.400000000001</v>
      </c>
      <c r="G41" s="33"/>
      <c r="H41" s="97"/>
    </row>
    <row r="42" spans="1:8" ht="134.1" customHeight="1" x14ac:dyDescent="0.25">
      <c r="A42" s="13">
        <v>2</v>
      </c>
      <c r="B42" s="6" t="s">
        <v>426</v>
      </c>
      <c r="C42" s="31" t="s">
        <v>427</v>
      </c>
      <c r="D42" s="31" t="s">
        <v>428</v>
      </c>
      <c r="E42" s="32" t="s">
        <v>429</v>
      </c>
      <c r="F42" s="33">
        <v>32516.639999999999</v>
      </c>
      <c r="G42" s="33"/>
      <c r="H42" s="97"/>
    </row>
    <row r="43" spans="1:8" ht="36.75" customHeight="1" x14ac:dyDescent="0.25">
      <c r="A43" s="13">
        <v>3</v>
      </c>
      <c r="B43" s="6" t="s">
        <v>430</v>
      </c>
      <c r="C43" s="31" t="s">
        <v>431</v>
      </c>
      <c r="D43" s="31" t="s">
        <v>432</v>
      </c>
      <c r="E43" s="32" t="s">
        <v>433</v>
      </c>
      <c r="F43" s="33">
        <v>4877.3999999999996</v>
      </c>
      <c r="G43" s="33"/>
      <c r="H43" s="97"/>
    </row>
    <row r="44" spans="1:8" ht="40.35" customHeight="1" x14ac:dyDescent="0.25">
      <c r="A44" s="13">
        <v>4</v>
      </c>
      <c r="B44" s="6" t="s">
        <v>434</v>
      </c>
      <c r="C44" s="31" t="s">
        <v>435</v>
      </c>
      <c r="D44" s="31" t="s">
        <v>436</v>
      </c>
      <c r="E44" s="32" t="s">
        <v>437</v>
      </c>
      <c r="F44" s="33">
        <v>4877.3999999999996</v>
      </c>
      <c r="G44" s="33"/>
      <c r="H44" s="97"/>
    </row>
    <row r="45" spans="1:8" ht="15" x14ac:dyDescent="0.25">
      <c r="A45" s="35" t="s">
        <v>444</v>
      </c>
      <c r="B45" s="36"/>
      <c r="C45" s="36"/>
      <c r="D45" s="36"/>
      <c r="E45" s="36"/>
      <c r="F45" s="37"/>
      <c r="G45" s="37"/>
      <c r="H45" s="97" t="s">
        <v>52</v>
      </c>
    </row>
    <row r="46" spans="1:8" ht="57.75" customHeight="1" x14ac:dyDescent="0.25">
      <c r="A46" s="13">
        <v>1</v>
      </c>
      <c r="B46" s="6" t="s">
        <v>445</v>
      </c>
      <c r="C46" s="31" t="s">
        <v>446</v>
      </c>
      <c r="D46" s="31" t="s">
        <v>447</v>
      </c>
      <c r="E46" s="32" t="s">
        <v>448</v>
      </c>
      <c r="F46" s="33">
        <v>48854.96</v>
      </c>
      <c r="G46" s="33"/>
      <c r="H46" s="97"/>
    </row>
    <row r="47" spans="1:8" ht="133.15" customHeight="1" x14ac:dyDescent="0.25">
      <c r="A47" s="13">
        <v>2</v>
      </c>
      <c r="B47" s="6" t="s">
        <v>449</v>
      </c>
      <c r="C47" s="31" t="s">
        <v>450</v>
      </c>
      <c r="D47" s="31" t="s">
        <v>451</v>
      </c>
      <c r="E47" s="32" t="s">
        <v>452</v>
      </c>
      <c r="F47" s="33">
        <v>45523.199999999997</v>
      </c>
      <c r="G47" s="33"/>
      <c r="H47" s="97"/>
    </row>
    <row r="48" spans="1:8" ht="29.25" customHeight="1" x14ac:dyDescent="0.25">
      <c r="A48" s="13">
        <v>3</v>
      </c>
      <c r="B48" s="6" t="s">
        <v>453</v>
      </c>
      <c r="C48" s="31" t="s">
        <v>454</v>
      </c>
      <c r="D48" s="31" t="s">
        <v>455</v>
      </c>
      <c r="E48" s="32" t="s">
        <v>456</v>
      </c>
      <c r="F48" s="33">
        <v>6828.36</v>
      </c>
      <c r="G48" s="33"/>
      <c r="H48" s="97"/>
    </row>
    <row r="49" spans="1:8" ht="29.25" customHeight="1" x14ac:dyDescent="0.25">
      <c r="A49" s="13">
        <v>4</v>
      </c>
      <c r="B49" s="6" t="s">
        <v>457</v>
      </c>
      <c r="C49" s="31" t="s">
        <v>458</v>
      </c>
      <c r="D49" s="31" t="s">
        <v>459</v>
      </c>
      <c r="E49" s="32" t="s">
        <v>460</v>
      </c>
      <c r="F49" s="33">
        <v>6828.36</v>
      </c>
      <c r="G49" s="33"/>
      <c r="H49" s="97"/>
    </row>
    <row r="50" spans="1:8" ht="15" x14ac:dyDescent="0.25">
      <c r="A50" s="35" t="s">
        <v>444</v>
      </c>
      <c r="B50" s="36"/>
      <c r="C50" s="36"/>
      <c r="D50" s="36"/>
      <c r="E50" s="36"/>
      <c r="F50" s="37"/>
      <c r="G50" s="37"/>
      <c r="H50" s="97" t="s">
        <v>69</v>
      </c>
    </row>
    <row r="51" spans="1:8" ht="57.75" customHeight="1" x14ac:dyDescent="0.25">
      <c r="A51" s="13">
        <v>1</v>
      </c>
      <c r="B51" s="6" t="s">
        <v>461</v>
      </c>
      <c r="C51" s="31" t="s">
        <v>446</v>
      </c>
      <c r="D51" s="31" t="s">
        <v>462</v>
      </c>
      <c r="E51" s="32" t="s">
        <v>448</v>
      </c>
      <c r="F51" s="33">
        <v>48854.96</v>
      </c>
      <c r="G51" s="33"/>
      <c r="H51" s="97"/>
    </row>
    <row r="52" spans="1:8" ht="133.15" customHeight="1" x14ac:dyDescent="0.25">
      <c r="A52" s="13">
        <v>2</v>
      </c>
      <c r="B52" s="6" t="s">
        <v>449</v>
      </c>
      <c r="C52" s="31" t="s">
        <v>450</v>
      </c>
      <c r="D52" s="31" t="s">
        <v>451</v>
      </c>
      <c r="E52" s="32" t="s">
        <v>452</v>
      </c>
      <c r="F52" s="33">
        <v>45523.199999999997</v>
      </c>
      <c r="G52" s="33"/>
      <c r="H52" s="97"/>
    </row>
    <row r="53" spans="1:8" ht="29.25" customHeight="1" x14ac:dyDescent="0.25">
      <c r="A53" s="13">
        <v>3</v>
      </c>
      <c r="B53" s="6" t="s">
        <v>453</v>
      </c>
      <c r="C53" s="31" t="s">
        <v>454</v>
      </c>
      <c r="D53" s="31" t="s">
        <v>455</v>
      </c>
      <c r="E53" s="32" t="s">
        <v>456</v>
      </c>
      <c r="F53" s="33">
        <v>6828.36</v>
      </c>
      <c r="G53" s="33"/>
      <c r="H53" s="97"/>
    </row>
    <row r="54" spans="1:8" ht="29.25" customHeight="1" x14ac:dyDescent="0.25">
      <c r="A54" s="13">
        <v>4</v>
      </c>
      <c r="B54" s="6" t="s">
        <v>457</v>
      </c>
      <c r="C54" s="31" t="s">
        <v>458</v>
      </c>
      <c r="D54" s="31" t="s">
        <v>459</v>
      </c>
      <c r="E54" s="32" t="s">
        <v>460</v>
      </c>
      <c r="F54" s="33">
        <v>6828.36</v>
      </c>
      <c r="G54" s="33"/>
      <c r="H54" s="97"/>
    </row>
    <row r="55" spans="1:8" ht="15" x14ac:dyDescent="0.25">
      <c r="A55" s="35" t="s">
        <v>444</v>
      </c>
      <c r="B55" s="36"/>
      <c r="C55" s="36"/>
      <c r="D55" s="36"/>
      <c r="E55" s="36"/>
      <c r="F55" s="37"/>
      <c r="G55" s="37"/>
      <c r="H55" s="97" t="s">
        <v>237</v>
      </c>
    </row>
    <row r="56" spans="1:8" ht="57.75" customHeight="1" x14ac:dyDescent="0.25">
      <c r="A56" s="13">
        <v>1</v>
      </c>
      <c r="B56" s="6" t="s">
        <v>463</v>
      </c>
      <c r="C56" s="31" t="s">
        <v>446</v>
      </c>
      <c r="D56" s="31" t="s">
        <v>464</v>
      </c>
      <c r="E56" s="32" t="s">
        <v>448</v>
      </c>
      <c r="F56" s="33">
        <v>48854.96</v>
      </c>
      <c r="G56" s="33"/>
      <c r="H56" s="97"/>
    </row>
    <row r="57" spans="1:8" ht="133.15" customHeight="1" x14ac:dyDescent="0.25">
      <c r="A57" s="13">
        <v>2</v>
      </c>
      <c r="B57" s="6" t="s">
        <v>449</v>
      </c>
      <c r="C57" s="31" t="s">
        <v>450</v>
      </c>
      <c r="D57" s="31" t="s">
        <v>451</v>
      </c>
      <c r="E57" s="32" t="s">
        <v>452</v>
      </c>
      <c r="F57" s="33">
        <v>45523.199999999997</v>
      </c>
      <c r="G57" s="33"/>
      <c r="H57" s="97"/>
    </row>
    <row r="58" spans="1:8" ht="29.25" customHeight="1" x14ac:dyDescent="0.25">
      <c r="A58" s="13">
        <v>3</v>
      </c>
      <c r="B58" s="6" t="s">
        <v>453</v>
      </c>
      <c r="C58" s="31" t="s">
        <v>454</v>
      </c>
      <c r="D58" s="31" t="s">
        <v>455</v>
      </c>
      <c r="E58" s="32" t="s">
        <v>456</v>
      </c>
      <c r="F58" s="33">
        <v>6828.36</v>
      </c>
      <c r="G58" s="33"/>
      <c r="H58" s="97"/>
    </row>
    <row r="59" spans="1:8" ht="29.25" customHeight="1" x14ac:dyDescent="0.25">
      <c r="A59" s="13">
        <v>4</v>
      </c>
      <c r="B59" s="6" t="s">
        <v>457</v>
      </c>
      <c r="C59" s="31" t="s">
        <v>458</v>
      </c>
      <c r="D59" s="31" t="s">
        <v>459</v>
      </c>
      <c r="E59" s="32" t="s">
        <v>460</v>
      </c>
      <c r="F59" s="33">
        <v>6828.36</v>
      </c>
      <c r="G59" s="33"/>
      <c r="H59" s="97"/>
    </row>
    <row r="60" spans="1:8" ht="15" x14ac:dyDescent="0.25">
      <c r="A60" s="35" t="s">
        <v>444</v>
      </c>
      <c r="B60" s="36"/>
      <c r="C60" s="36"/>
      <c r="D60" s="36"/>
      <c r="E60" s="36"/>
      <c r="F60" s="37"/>
      <c r="G60" s="37"/>
      <c r="H60" s="97" t="s">
        <v>78</v>
      </c>
    </row>
    <row r="61" spans="1:8" ht="57.75" customHeight="1" x14ac:dyDescent="0.25">
      <c r="A61" s="13">
        <v>1</v>
      </c>
      <c r="B61" s="6" t="s">
        <v>465</v>
      </c>
      <c r="C61" s="31" t="s">
        <v>446</v>
      </c>
      <c r="D61" s="31" t="s">
        <v>466</v>
      </c>
      <c r="E61" s="32" t="s">
        <v>448</v>
      </c>
      <c r="F61" s="33">
        <v>48854.96</v>
      </c>
      <c r="G61" s="33"/>
      <c r="H61" s="97"/>
    </row>
    <row r="62" spans="1:8" ht="133.15" customHeight="1" x14ac:dyDescent="0.25">
      <c r="A62" s="13">
        <v>2</v>
      </c>
      <c r="B62" s="6" t="s">
        <v>449</v>
      </c>
      <c r="C62" s="31" t="s">
        <v>450</v>
      </c>
      <c r="D62" s="31" t="s">
        <v>451</v>
      </c>
      <c r="E62" s="32" t="s">
        <v>452</v>
      </c>
      <c r="F62" s="33">
        <v>45523.199999999997</v>
      </c>
      <c r="G62" s="33"/>
      <c r="H62" s="97"/>
    </row>
    <row r="63" spans="1:8" ht="29.25" customHeight="1" x14ac:dyDescent="0.25">
      <c r="A63" s="13">
        <v>3</v>
      </c>
      <c r="B63" s="6" t="s">
        <v>453</v>
      </c>
      <c r="C63" s="31" t="s">
        <v>454</v>
      </c>
      <c r="D63" s="31" t="s">
        <v>455</v>
      </c>
      <c r="E63" s="32" t="s">
        <v>456</v>
      </c>
      <c r="F63" s="33">
        <v>6828.36</v>
      </c>
      <c r="G63" s="33"/>
      <c r="H63" s="97"/>
    </row>
    <row r="64" spans="1:8" ht="29.25" customHeight="1" x14ac:dyDescent="0.25">
      <c r="A64" s="13">
        <v>4</v>
      </c>
      <c r="B64" s="6" t="s">
        <v>457</v>
      </c>
      <c r="C64" s="31" t="s">
        <v>458</v>
      </c>
      <c r="D64" s="31" t="s">
        <v>459</v>
      </c>
      <c r="E64" s="32" t="s">
        <v>460</v>
      </c>
      <c r="F64" s="33">
        <v>6828.36</v>
      </c>
      <c r="G64" s="33"/>
      <c r="H64" s="97"/>
    </row>
    <row r="65" spans="1:8" ht="15" x14ac:dyDescent="0.25">
      <c r="A65" s="38" t="s">
        <v>467</v>
      </c>
      <c r="B65" s="39"/>
      <c r="C65" s="39"/>
      <c r="D65" s="39"/>
      <c r="E65" s="39"/>
      <c r="F65" s="40"/>
      <c r="G65" s="40"/>
      <c r="H65" s="97" t="s">
        <v>52</v>
      </c>
    </row>
    <row r="66" spans="1:8" ht="68.099999999999994" customHeight="1" x14ac:dyDescent="0.25">
      <c r="A66" s="13">
        <v>1</v>
      </c>
      <c r="B66" s="6" t="s">
        <v>468</v>
      </c>
      <c r="C66" s="31" t="s">
        <v>469</v>
      </c>
      <c r="D66" s="31" t="s">
        <v>470</v>
      </c>
      <c r="E66" s="32" t="s">
        <v>471</v>
      </c>
      <c r="F66" s="33">
        <v>63511.45</v>
      </c>
      <c r="G66" s="33"/>
      <c r="H66" s="97"/>
    </row>
    <row r="67" spans="1:8" ht="137.1" customHeight="1" x14ac:dyDescent="0.25">
      <c r="A67" s="13">
        <v>2</v>
      </c>
      <c r="B67" s="6" t="s">
        <v>472</v>
      </c>
      <c r="C67" s="31" t="s">
        <v>473</v>
      </c>
      <c r="D67" s="31" t="s">
        <v>474</v>
      </c>
      <c r="E67" s="32" t="s">
        <v>475</v>
      </c>
      <c r="F67" s="33">
        <v>59180.04</v>
      </c>
      <c r="G67" s="33"/>
      <c r="H67" s="97"/>
    </row>
    <row r="68" spans="1:8" ht="42.75" customHeight="1" x14ac:dyDescent="0.25">
      <c r="A68" s="13">
        <v>3</v>
      </c>
      <c r="B68" s="6" t="s">
        <v>476</v>
      </c>
      <c r="C68" s="31" t="s">
        <v>477</v>
      </c>
      <c r="D68" s="31" t="s">
        <v>478</v>
      </c>
      <c r="E68" s="32" t="s">
        <v>479</v>
      </c>
      <c r="F68" s="33">
        <v>8876.8799999999992</v>
      </c>
      <c r="G68" s="33"/>
      <c r="H68" s="97"/>
    </row>
    <row r="69" spans="1:8" ht="37.700000000000003" customHeight="1" x14ac:dyDescent="0.25">
      <c r="A69" s="13">
        <v>4</v>
      </c>
      <c r="B69" s="6" t="s">
        <v>480</v>
      </c>
      <c r="C69" s="31" t="s">
        <v>481</v>
      </c>
      <c r="D69" s="31" t="s">
        <v>482</v>
      </c>
      <c r="E69" s="32" t="s">
        <v>483</v>
      </c>
      <c r="F69" s="33">
        <v>8876.8799999999992</v>
      </c>
      <c r="G69" s="33"/>
      <c r="H69" s="97"/>
    </row>
    <row r="70" spans="1:8" ht="15" x14ac:dyDescent="0.25">
      <c r="A70" s="38" t="s">
        <v>467</v>
      </c>
      <c r="B70" s="39"/>
      <c r="C70" s="39"/>
      <c r="D70" s="39"/>
      <c r="E70" s="39"/>
      <c r="F70" s="40"/>
      <c r="G70" s="40"/>
      <c r="H70" s="97" t="s">
        <v>69</v>
      </c>
    </row>
    <row r="71" spans="1:8" ht="68.099999999999994" customHeight="1" x14ac:dyDescent="0.25">
      <c r="A71" s="13">
        <v>1</v>
      </c>
      <c r="B71" s="6" t="s">
        <v>484</v>
      </c>
      <c r="C71" s="31" t="s">
        <v>469</v>
      </c>
      <c r="D71" s="31" t="s">
        <v>485</v>
      </c>
      <c r="E71" s="32" t="s">
        <v>471</v>
      </c>
      <c r="F71" s="33">
        <v>63511.45</v>
      </c>
      <c r="G71" s="33"/>
      <c r="H71" s="97"/>
    </row>
    <row r="72" spans="1:8" ht="137.1" customHeight="1" x14ac:dyDescent="0.25">
      <c r="A72" s="13">
        <v>2</v>
      </c>
      <c r="B72" s="6" t="s">
        <v>472</v>
      </c>
      <c r="C72" s="31" t="s">
        <v>473</v>
      </c>
      <c r="D72" s="31" t="s">
        <v>474</v>
      </c>
      <c r="E72" s="32" t="s">
        <v>475</v>
      </c>
      <c r="F72" s="33">
        <v>59180.04</v>
      </c>
      <c r="G72" s="33"/>
      <c r="H72" s="97"/>
    </row>
    <row r="73" spans="1:8" ht="42.75" customHeight="1" x14ac:dyDescent="0.25">
      <c r="A73" s="13">
        <v>3</v>
      </c>
      <c r="B73" s="6" t="s">
        <v>476</v>
      </c>
      <c r="C73" s="31" t="s">
        <v>477</v>
      </c>
      <c r="D73" s="31" t="s">
        <v>478</v>
      </c>
      <c r="E73" s="32" t="s">
        <v>479</v>
      </c>
      <c r="F73" s="33">
        <v>8876.8799999999992</v>
      </c>
      <c r="G73" s="33"/>
      <c r="H73" s="97"/>
    </row>
    <row r="74" spans="1:8" ht="37.700000000000003" customHeight="1" x14ac:dyDescent="0.25">
      <c r="A74" s="13">
        <v>4</v>
      </c>
      <c r="B74" s="6" t="s">
        <v>480</v>
      </c>
      <c r="C74" s="31" t="s">
        <v>481</v>
      </c>
      <c r="D74" s="31" t="s">
        <v>482</v>
      </c>
      <c r="E74" s="32" t="s">
        <v>483</v>
      </c>
      <c r="F74" s="33">
        <v>8876.8799999999992</v>
      </c>
      <c r="G74" s="33"/>
      <c r="H74" s="97"/>
    </row>
    <row r="75" spans="1:8" ht="15" x14ac:dyDescent="0.25">
      <c r="A75" s="38" t="s">
        <v>467</v>
      </c>
      <c r="B75" s="39"/>
      <c r="C75" s="39"/>
      <c r="D75" s="39"/>
      <c r="E75" s="39"/>
      <c r="F75" s="40"/>
      <c r="G75" s="40"/>
      <c r="H75" s="97" t="s">
        <v>237</v>
      </c>
    </row>
    <row r="76" spans="1:8" ht="68.099999999999994" customHeight="1" x14ac:dyDescent="0.25">
      <c r="A76" s="13">
        <v>1</v>
      </c>
      <c r="B76" s="6" t="s">
        <v>486</v>
      </c>
      <c r="C76" s="31" t="s">
        <v>469</v>
      </c>
      <c r="D76" s="31" t="s">
        <v>487</v>
      </c>
      <c r="E76" s="32" t="s">
        <v>471</v>
      </c>
      <c r="F76" s="33">
        <v>63511.45</v>
      </c>
      <c r="G76" s="33"/>
      <c r="H76" s="97"/>
    </row>
    <row r="77" spans="1:8" ht="137.1" customHeight="1" x14ac:dyDescent="0.25">
      <c r="A77" s="13">
        <v>2</v>
      </c>
      <c r="B77" s="6" t="s">
        <v>472</v>
      </c>
      <c r="C77" s="31" t="s">
        <v>473</v>
      </c>
      <c r="D77" s="31" t="s">
        <v>474</v>
      </c>
      <c r="E77" s="32" t="s">
        <v>475</v>
      </c>
      <c r="F77" s="33">
        <v>59180.04</v>
      </c>
      <c r="G77" s="33"/>
      <c r="H77" s="97"/>
    </row>
    <row r="78" spans="1:8" ht="42.75" customHeight="1" x14ac:dyDescent="0.25">
      <c r="A78" s="13">
        <v>3</v>
      </c>
      <c r="B78" s="6" t="s">
        <v>476</v>
      </c>
      <c r="C78" s="31" t="s">
        <v>477</v>
      </c>
      <c r="D78" s="31" t="s">
        <v>478</v>
      </c>
      <c r="E78" s="32" t="s">
        <v>479</v>
      </c>
      <c r="F78" s="33">
        <v>8876.8799999999992</v>
      </c>
      <c r="G78" s="33"/>
      <c r="H78" s="97"/>
    </row>
    <row r="79" spans="1:8" ht="37.700000000000003" customHeight="1" x14ac:dyDescent="0.25">
      <c r="A79" s="13">
        <v>4</v>
      </c>
      <c r="B79" s="6" t="s">
        <v>480</v>
      </c>
      <c r="C79" s="31" t="s">
        <v>481</v>
      </c>
      <c r="D79" s="31" t="s">
        <v>482</v>
      </c>
      <c r="E79" s="32" t="s">
        <v>483</v>
      </c>
      <c r="F79" s="33">
        <v>8876.8799999999992</v>
      </c>
      <c r="G79" s="33"/>
      <c r="H79" s="97"/>
    </row>
    <row r="80" spans="1:8" ht="15" x14ac:dyDescent="0.25">
      <c r="A80" s="38" t="s">
        <v>467</v>
      </c>
      <c r="B80" s="39"/>
      <c r="C80" s="39"/>
      <c r="D80" s="39"/>
      <c r="E80" s="39"/>
      <c r="F80" s="40"/>
      <c r="G80" s="40"/>
      <c r="H80" s="97" t="s">
        <v>78</v>
      </c>
    </row>
    <row r="81" spans="1:8" ht="68.099999999999994" customHeight="1" x14ac:dyDescent="0.25">
      <c r="A81" s="13">
        <v>1</v>
      </c>
      <c r="B81" s="6" t="s">
        <v>488</v>
      </c>
      <c r="C81" s="31" t="s">
        <v>469</v>
      </c>
      <c r="D81" s="31" t="s">
        <v>489</v>
      </c>
      <c r="E81" s="32" t="s">
        <v>471</v>
      </c>
      <c r="F81" s="33">
        <v>63511.45</v>
      </c>
      <c r="G81" s="33"/>
      <c r="H81" s="97"/>
    </row>
    <row r="82" spans="1:8" ht="137.1" customHeight="1" x14ac:dyDescent="0.25">
      <c r="A82" s="13">
        <v>2</v>
      </c>
      <c r="B82" s="6" t="s">
        <v>472</v>
      </c>
      <c r="C82" s="31" t="s">
        <v>473</v>
      </c>
      <c r="D82" s="31" t="s">
        <v>474</v>
      </c>
      <c r="E82" s="32" t="s">
        <v>475</v>
      </c>
      <c r="F82" s="33">
        <v>59180.04</v>
      </c>
      <c r="G82" s="33"/>
      <c r="H82" s="97"/>
    </row>
    <row r="83" spans="1:8" ht="42.75" customHeight="1" x14ac:dyDescent="0.25">
      <c r="A83" s="13">
        <v>3</v>
      </c>
      <c r="B83" s="6" t="s">
        <v>476</v>
      </c>
      <c r="C83" s="31" t="s">
        <v>477</v>
      </c>
      <c r="D83" s="31" t="s">
        <v>478</v>
      </c>
      <c r="E83" s="32" t="s">
        <v>479</v>
      </c>
      <c r="F83" s="33">
        <v>8876.8799999999992</v>
      </c>
      <c r="G83" s="33"/>
      <c r="H83" s="97"/>
    </row>
    <row r="84" spans="1:8" ht="37.700000000000003" customHeight="1" x14ac:dyDescent="0.25">
      <c r="A84" s="13">
        <v>4</v>
      </c>
      <c r="B84" s="6" t="s">
        <v>480</v>
      </c>
      <c r="C84" s="31" t="s">
        <v>481</v>
      </c>
      <c r="D84" s="31" t="s">
        <v>482</v>
      </c>
      <c r="E84" s="32" t="s">
        <v>483</v>
      </c>
      <c r="F84" s="33">
        <v>8876.8799999999992</v>
      </c>
      <c r="G84" s="33"/>
      <c r="H84" s="97"/>
    </row>
  </sheetData>
  <mergeCells count="18">
    <mergeCell ref="H70:H74"/>
    <mergeCell ref="H75:H79"/>
    <mergeCell ref="H80:H84"/>
    <mergeCell ref="H45:H49"/>
    <mergeCell ref="H50:H54"/>
    <mergeCell ref="H55:H59"/>
    <mergeCell ref="H60:H64"/>
    <mergeCell ref="H65:H69"/>
    <mergeCell ref="H20:H24"/>
    <mergeCell ref="H25:H29"/>
    <mergeCell ref="H30:H34"/>
    <mergeCell ref="H35:H39"/>
    <mergeCell ref="H40:H44"/>
    <mergeCell ref="A1:F1"/>
    <mergeCell ref="A2:B2"/>
    <mergeCell ref="H5:H9"/>
    <mergeCell ref="H10:H14"/>
    <mergeCell ref="H15:H19"/>
  </mergeCells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0"/>
  <sheetViews>
    <sheetView zoomScale="81" zoomScaleNormal="90" workbookViewId="0">
      <selection activeCell="F14" sqref="F14"/>
    </sheetView>
  </sheetViews>
  <sheetFormatPr defaultColWidth="9" defaultRowHeight="15" x14ac:dyDescent="0.25"/>
  <cols>
    <col min="1" max="1" width="15.5703125" style="23" customWidth="1"/>
    <col min="2" max="2" width="19.42578125" style="23" customWidth="1"/>
    <col min="3" max="3" width="94.28515625" style="23" customWidth="1"/>
    <col min="4" max="4" width="9.5703125" style="23" customWidth="1"/>
    <col min="5" max="5" width="6.5703125" style="23" customWidth="1"/>
    <col min="6" max="6" width="9.42578125" style="41" customWidth="1"/>
    <col min="7" max="7" width="7.42578125" style="41" customWidth="1"/>
    <col min="8" max="8" width="9.42578125" style="41" customWidth="1"/>
    <col min="9" max="9" width="16.42578125" style="41" customWidth="1"/>
    <col min="10" max="10" width="14.7109375" style="23" customWidth="1"/>
    <col min="11" max="11" width="9" style="23" customWidth="1"/>
    <col min="12" max="16384" width="9" style="23"/>
  </cols>
  <sheetData>
    <row r="2" spans="1:11" ht="60" customHeight="1" x14ac:dyDescent="0.25">
      <c r="A2" s="35" t="s">
        <v>490</v>
      </c>
      <c r="B2" s="60" t="s">
        <v>491</v>
      </c>
      <c r="C2" s="60" t="s">
        <v>492</v>
      </c>
      <c r="D2" s="60" t="s">
        <v>493</v>
      </c>
      <c r="E2" s="61" t="s">
        <v>494</v>
      </c>
      <c r="F2" s="61" t="s">
        <v>495</v>
      </c>
      <c r="G2" s="61" t="s">
        <v>496</v>
      </c>
      <c r="H2" s="8" t="s">
        <v>497</v>
      </c>
      <c r="I2" s="8" t="s">
        <v>498</v>
      </c>
      <c r="J2" s="61" t="s">
        <v>499</v>
      </c>
    </row>
    <row r="3" spans="1:11" ht="74.099999999999994" customHeight="1" x14ac:dyDescent="0.25">
      <c r="A3" s="100" t="s">
        <v>500</v>
      </c>
      <c r="B3" s="100" t="s">
        <v>501</v>
      </c>
      <c r="C3" s="62" t="s">
        <v>246</v>
      </c>
      <c r="D3" s="63">
        <v>2</v>
      </c>
      <c r="E3" s="63">
        <v>340</v>
      </c>
      <c r="F3" s="33">
        <v>3431.5</v>
      </c>
      <c r="G3" s="64">
        <v>0.35</v>
      </c>
      <c r="H3" s="33">
        <f>F3*(1-G3)+E3</f>
        <v>2570.4749999999999</v>
      </c>
      <c r="I3" s="33">
        <f>H3*D3</f>
        <v>5140.95</v>
      </c>
      <c r="J3" s="65">
        <f>D3*F3</f>
        <v>6863</v>
      </c>
      <c r="K3" s="66">
        <f>E3+F3</f>
        <v>3771.5</v>
      </c>
    </row>
    <row r="4" spans="1:11" ht="149.65" customHeight="1" x14ac:dyDescent="0.25">
      <c r="A4" s="101"/>
      <c r="B4" s="101"/>
      <c r="C4" s="62" t="s">
        <v>250</v>
      </c>
      <c r="D4" s="63">
        <v>1</v>
      </c>
      <c r="E4" s="63"/>
      <c r="F4" s="33">
        <v>3735</v>
      </c>
      <c r="G4" s="64">
        <v>0.35</v>
      </c>
      <c r="H4" s="33">
        <f t="shared" ref="H4:H19" si="0">F4*(1-G4)+E4</f>
        <v>2427.75</v>
      </c>
      <c r="I4" s="33">
        <f t="shared" ref="I4:I19" si="1">H4*D4</f>
        <v>2427.75</v>
      </c>
      <c r="J4" s="65">
        <f t="shared" ref="J4:J19" si="2">D4*F4</f>
        <v>3735</v>
      </c>
      <c r="K4" s="66">
        <f t="shared" ref="K4:K19" si="3">E4+F4</f>
        <v>3735</v>
      </c>
    </row>
    <row r="5" spans="1:11" ht="49.7" customHeight="1" x14ac:dyDescent="0.25">
      <c r="A5" s="102"/>
      <c r="B5" s="102"/>
      <c r="C5" s="67" t="s">
        <v>99</v>
      </c>
      <c r="D5" s="63">
        <v>1</v>
      </c>
      <c r="E5" s="63"/>
      <c r="F5" s="33">
        <v>339.96</v>
      </c>
      <c r="G5" s="64">
        <v>0.35</v>
      </c>
      <c r="H5" s="33">
        <f t="shared" si="0"/>
        <v>220.97399999999999</v>
      </c>
      <c r="I5" s="33">
        <f t="shared" si="1"/>
        <v>220.97399999999999</v>
      </c>
      <c r="J5" s="65">
        <f t="shared" si="2"/>
        <v>339.96</v>
      </c>
      <c r="K5" s="66">
        <f t="shared" si="3"/>
        <v>339.96</v>
      </c>
    </row>
    <row r="6" spans="1:11" ht="74.099999999999994" customHeight="1" x14ac:dyDescent="0.25">
      <c r="A6" s="103" t="s">
        <v>502</v>
      </c>
      <c r="B6" s="103" t="s">
        <v>29</v>
      </c>
      <c r="C6" s="32" t="s">
        <v>206</v>
      </c>
      <c r="D6" s="63">
        <v>1</v>
      </c>
      <c r="E6" s="63">
        <v>340</v>
      </c>
      <c r="F6" s="33">
        <v>2479.5</v>
      </c>
      <c r="G6" s="64">
        <v>0.35</v>
      </c>
      <c r="H6" s="33">
        <f t="shared" si="0"/>
        <v>1951.675</v>
      </c>
      <c r="I6" s="33">
        <f t="shared" si="1"/>
        <v>1951.675</v>
      </c>
      <c r="J6" s="65">
        <f t="shared" si="2"/>
        <v>2479.5</v>
      </c>
      <c r="K6" s="66">
        <f t="shared" si="3"/>
        <v>2819.5</v>
      </c>
    </row>
    <row r="7" spans="1:11" ht="111" customHeight="1" x14ac:dyDescent="0.25">
      <c r="A7" s="103"/>
      <c r="B7" s="103"/>
      <c r="C7" s="62" t="s">
        <v>214</v>
      </c>
      <c r="D7" s="63">
        <v>1</v>
      </c>
      <c r="E7" s="63"/>
      <c r="F7" s="33">
        <v>1955.5</v>
      </c>
      <c r="G7" s="64">
        <v>0.35</v>
      </c>
      <c r="H7" s="33">
        <f t="shared" si="0"/>
        <v>1271.075</v>
      </c>
      <c r="I7" s="33">
        <f t="shared" si="1"/>
        <v>1271.075</v>
      </c>
      <c r="J7" s="65">
        <f t="shared" si="2"/>
        <v>1955.5</v>
      </c>
      <c r="K7" s="66">
        <f t="shared" si="3"/>
        <v>1955.5</v>
      </c>
    </row>
    <row r="8" spans="1:11" ht="74.099999999999994" customHeight="1" x14ac:dyDescent="0.25">
      <c r="A8" s="103" t="s">
        <v>503</v>
      </c>
      <c r="B8" s="103" t="s">
        <v>25</v>
      </c>
      <c r="C8" s="32" t="s">
        <v>144</v>
      </c>
      <c r="D8" s="63">
        <v>1</v>
      </c>
      <c r="E8" s="68">
        <v>180</v>
      </c>
      <c r="F8" s="68">
        <v>1250</v>
      </c>
      <c r="G8" s="64">
        <v>0.35</v>
      </c>
      <c r="H8" s="33">
        <f t="shared" si="0"/>
        <v>992.5</v>
      </c>
      <c r="I8" s="33">
        <f t="shared" si="1"/>
        <v>992.5</v>
      </c>
      <c r="J8" s="65">
        <f t="shared" si="2"/>
        <v>1250</v>
      </c>
      <c r="K8" s="66">
        <f t="shared" si="3"/>
        <v>1430</v>
      </c>
    </row>
    <row r="9" spans="1:11" ht="140.65" customHeight="1" x14ac:dyDescent="0.25">
      <c r="A9" s="103"/>
      <c r="B9" s="103"/>
      <c r="C9" s="62" t="s">
        <v>156</v>
      </c>
      <c r="D9" s="63">
        <v>1</v>
      </c>
      <c r="E9" s="68"/>
      <c r="F9" s="68">
        <v>590</v>
      </c>
      <c r="G9" s="64">
        <v>0.35</v>
      </c>
      <c r="H9" s="33">
        <f t="shared" si="0"/>
        <v>383.5</v>
      </c>
      <c r="I9" s="33">
        <f t="shared" si="1"/>
        <v>383.5</v>
      </c>
      <c r="J9" s="65">
        <f t="shared" si="2"/>
        <v>590</v>
      </c>
      <c r="K9" s="66">
        <f t="shared" si="3"/>
        <v>590</v>
      </c>
    </row>
    <row r="10" spans="1:11" ht="74.099999999999994" customHeight="1" x14ac:dyDescent="0.25">
      <c r="A10" s="103" t="s">
        <v>504</v>
      </c>
      <c r="B10" s="103" t="s">
        <v>25</v>
      </c>
      <c r="C10" s="32" t="s">
        <v>144</v>
      </c>
      <c r="D10" s="63">
        <v>1</v>
      </c>
      <c r="E10" s="68">
        <v>180</v>
      </c>
      <c r="F10" s="68">
        <v>1250</v>
      </c>
      <c r="G10" s="64">
        <v>0.35</v>
      </c>
      <c r="H10" s="33">
        <f t="shared" si="0"/>
        <v>992.5</v>
      </c>
      <c r="I10" s="33">
        <f t="shared" si="1"/>
        <v>992.5</v>
      </c>
      <c r="J10" s="65">
        <f t="shared" si="2"/>
        <v>1250</v>
      </c>
      <c r="K10" s="66">
        <f t="shared" si="3"/>
        <v>1430</v>
      </c>
    </row>
    <row r="11" spans="1:11" ht="140.65" customHeight="1" x14ac:dyDescent="0.25">
      <c r="A11" s="103"/>
      <c r="B11" s="103"/>
      <c r="C11" s="62" t="s">
        <v>156</v>
      </c>
      <c r="D11" s="63">
        <v>1</v>
      </c>
      <c r="E11" s="68"/>
      <c r="F11" s="68">
        <v>590</v>
      </c>
      <c r="G11" s="64">
        <v>0.35</v>
      </c>
      <c r="H11" s="33">
        <f t="shared" si="0"/>
        <v>383.5</v>
      </c>
      <c r="I11" s="33">
        <f t="shared" si="1"/>
        <v>383.5</v>
      </c>
      <c r="J11" s="65">
        <f t="shared" si="2"/>
        <v>590</v>
      </c>
      <c r="K11" s="66">
        <f t="shared" si="3"/>
        <v>590</v>
      </c>
    </row>
    <row r="12" spans="1:11" ht="74.099999999999994" customHeight="1" x14ac:dyDescent="0.25">
      <c r="A12" s="104" t="s">
        <v>505</v>
      </c>
      <c r="B12" s="103" t="s">
        <v>21</v>
      </c>
      <c r="C12" s="32" t="s">
        <v>85</v>
      </c>
      <c r="D12" s="63">
        <v>1</v>
      </c>
      <c r="E12" s="68">
        <v>180</v>
      </c>
      <c r="F12" s="68">
        <v>721</v>
      </c>
      <c r="G12" s="64">
        <v>0.35</v>
      </c>
      <c r="H12" s="33">
        <f t="shared" si="0"/>
        <v>648.65000000000009</v>
      </c>
      <c r="I12" s="33">
        <f t="shared" si="1"/>
        <v>648.65000000000009</v>
      </c>
      <c r="J12" s="65">
        <f t="shared" si="2"/>
        <v>721</v>
      </c>
      <c r="K12" s="66">
        <f t="shared" si="3"/>
        <v>901</v>
      </c>
    </row>
    <row r="13" spans="1:11" ht="111.4" customHeight="1" x14ac:dyDescent="0.25">
      <c r="A13" s="104"/>
      <c r="B13" s="103"/>
      <c r="C13" s="62" t="s">
        <v>506</v>
      </c>
      <c r="D13" s="63">
        <v>1</v>
      </c>
      <c r="E13" s="68"/>
      <c r="F13" s="68">
        <v>333.5</v>
      </c>
      <c r="G13" s="64">
        <v>0.35</v>
      </c>
      <c r="H13" s="33">
        <f t="shared" si="0"/>
        <v>216.77500000000001</v>
      </c>
      <c r="I13" s="33">
        <f t="shared" si="1"/>
        <v>216.77500000000001</v>
      </c>
      <c r="J13" s="65">
        <f t="shared" si="2"/>
        <v>333.5</v>
      </c>
      <c r="K13" s="66">
        <f t="shared" si="3"/>
        <v>333.5</v>
      </c>
    </row>
    <row r="14" spans="1:11" ht="74.099999999999994" customHeight="1" x14ac:dyDescent="0.25">
      <c r="A14" s="104" t="s">
        <v>507</v>
      </c>
      <c r="B14" s="103" t="s">
        <v>21</v>
      </c>
      <c r="C14" s="32" t="s">
        <v>85</v>
      </c>
      <c r="D14" s="63">
        <v>1</v>
      </c>
      <c r="E14" s="68">
        <v>180</v>
      </c>
      <c r="F14" s="68">
        <v>721</v>
      </c>
      <c r="G14" s="64">
        <v>0.35</v>
      </c>
      <c r="H14" s="33">
        <f t="shared" si="0"/>
        <v>648.65000000000009</v>
      </c>
      <c r="I14" s="33">
        <f t="shared" si="1"/>
        <v>648.65000000000009</v>
      </c>
      <c r="J14" s="65">
        <f t="shared" si="2"/>
        <v>721</v>
      </c>
      <c r="K14" s="66">
        <f t="shared" si="3"/>
        <v>901</v>
      </c>
    </row>
    <row r="15" spans="1:11" ht="140.65" customHeight="1" x14ac:dyDescent="0.25">
      <c r="A15" s="104"/>
      <c r="B15" s="103"/>
      <c r="C15" s="62" t="s">
        <v>506</v>
      </c>
      <c r="D15" s="63">
        <v>1</v>
      </c>
      <c r="E15" s="68"/>
      <c r="F15" s="68">
        <v>333.5</v>
      </c>
      <c r="G15" s="64">
        <v>0.35</v>
      </c>
      <c r="H15" s="33">
        <f t="shared" si="0"/>
        <v>216.77500000000001</v>
      </c>
      <c r="I15" s="33">
        <f t="shared" si="1"/>
        <v>216.77500000000001</v>
      </c>
      <c r="J15" s="65">
        <f t="shared" si="2"/>
        <v>333.5</v>
      </c>
      <c r="K15" s="66">
        <f t="shared" si="3"/>
        <v>333.5</v>
      </c>
    </row>
    <row r="16" spans="1:11" ht="74.099999999999994" customHeight="1" x14ac:dyDescent="0.25">
      <c r="A16" s="103" t="s">
        <v>508</v>
      </c>
      <c r="B16" s="103" t="s">
        <v>25</v>
      </c>
      <c r="C16" s="32" t="s">
        <v>85</v>
      </c>
      <c r="D16" s="63">
        <v>1</v>
      </c>
      <c r="E16" s="68">
        <v>180</v>
      </c>
      <c r="F16" s="68">
        <v>721</v>
      </c>
      <c r="G16" s="64">
        <v>0.35</v>
      </c>
      <c r="H16" s="33">
        <f t="shared" si="0"/>
        <v>648.65000000000009</v>
      </c>
      <c r="I16" s="33">
        <f t="shared" si="1"/>
        <v>648.65000000000009</v>
      </c>
      <c r="J16" s="65">
        <f t="shared" si="2"/>
        <v>721</v>
      </c>
      <c r="K16" s="66">
        <f t="shared" si="3"/>
        <v>901</v>
      </c>
    </row>
    <row r="17" spans="1:11" ht="140.65" customHeight="1" x14ac:dyDescent="0.25">
      <c r="A17" s="103"/>
      <c r="B17" s="103"/>
      <c r="C17" s="62" t="s">
        <v>506</v>
      </c>
      <c r="D17" s="63">
        <v>1</v>
      </c>
      <c r="E17" s="68"/>
      <c r="F17" s="68">
        <v>333.5</v>
      </c>
      <c r="G17" s="64">
        <v>0.35</v>
      </c>
      <c r="H17" s="33">
        <f t="shared" si="0"/>
        <v>216.77500000000001</v>
      </c>
      <c r="I17" s="33">
        <f t="shared" si="1"/>
        <v>216.77500000000001</v>
      </c>
      <c r="J17" s="65">
        <f t="shared" si="2"/>
        <v>333.5</v>
      </c>
      <c r="K17" s="66">
        <f t="shared" si="3"/>
        <v>333.5</v>
      </c>
    </row>
    <row r="18" spans="1:11" ht="74.099999999999994" customHeight="1" x14ac:dyDescent="0.25">
      <c r="A18" s="103" t="s">
        <v>509</v>
      </c>
      <c r="B18" s="103" t="s">
        <v>25</v>
      </c>
      <c r="C18" s="32" t="s">
        <v>85</v>
      </c>
      <c r="D18" s="63">
        <v>1</v>
      </c>
      <c r="E18" s="68">
        <v>180</v>
      </c>
      <c r="F18" s="68">
        <v>721</v>
      </c>
      <c r="G18" s="64">
        <v>0.35</v>
      </c>
      <c r="H18" s="33">
        <f t="shared" si="0"/>
        <v>648.65000000000009</v>
      </c>
      <c r="I18" s="33">
        <f t="shared" si="1"/>
        <v>648.65000000000009</v>
      </c>
      <c r="J18" s="65">
        <f t="shared" si="2"/>
        <v>721</v>
      </c>
      <c r="K18" s="66">
        <f t="shared" si="3"/>
        <v>901</v>
      </c>
    </row>
    <row r="19" spans="1:11" ht="140.65" customHeight="1" x14ac:dyDescent="0.25">
      <c r="A19" s="103"/>
      <c r="B19" s="103"/>
      <c r="C19" s="62" t="s">
        <v>506</v>
      </c>
      <c r="D19" s="63">
        <v>1</v>
      </c>
      <c r="E19" s="68"/>
      <c r="F19" s="68">
        <v>333.5</v>
      </c>
      <c r="G19" s="64">
        <v>0.35</v>
      </c>
      <c r="H19" s="33">
        <f t="shared" si="0"/>
        <v>216.77500000000001</v>
      </c>
      <c r="I19" s="33">
        <f t="shared" si="1"/>
        <v>216.77500000000001</v>
      </c>
      <c r="J19" s="65">
        <f t="shared" si="2"/>
        <v>333.5</v>
      </c>
      <c r="K19" s="66">
        <f t="shared" si="3"/>
        <v>333.5</v>
      </c>
    </row>
    <row r="20" spans="1:11" ht="37.35" customHeight="1" x14ac:dyDescent="0.25">
      <c r="A20" s="13"/>
      <c r="B20" s="13"/>
      <c r="C20" s="13"/>
      <c r="D20" s="13"/>
      <c r="E20" s="13"/>
      <c r="F20" s="65"/>
      <c r="G20" s="65"/>
      <c r="H20" s="65"/>
      <c r="I20" s="33">
        <f>SUM(I3:I19)</f>
        <v>17226.124</v>
      </c>
      <c r="J20" s="33">
        <f>SUM(J3:J19)</f>
        <v>23270.959999999999</v>
      </c>
    </row>
  </sheetData>
  <mergeCells count="16">
    <mergeCell ref="A16:A17"/>
    <mergeCell ref="B16:B17"/>
    <mergeCell ref="A18:A19"/>
    <mergeCell ref="B18:B19"/>
    <mergeCell ref="A10:A11"/>
    <mergeCell ref="B10:B11"/>
    <mergeCell ref="A12:A13"/>
    <mergeCell ref="B12:B13"/>
    <mergeCell ref="A14:A15"/>
    <mergeCell ref="B14:B15"/>
    <mergeCell ref="A3:A5"/>
    <mergeCell ref="B3:B5"/>
    <mergeCell ref="A6:A7"/>
    <mergeCell ref="B6:B7"/>
    <mergeCell ref="A8:A9"/>
    <mergeCell ref="B8: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9"/>
  <sheetViews>
    <sheetView zoomScale="81" zoomScaleNormal="90" workbookViewId="0">
      <selection activeCell="G3" sqref="G3"/>
    </sheetView>
  </sheetViews>
  <sheetFormatPr defaultColWidth="9" defaultRowHeight="15" x14ac:dyDescent="0.25"/>
  <cols>
    <col min="1" max="1" width="19.42578125" style="23" customWidth="1"/>
    <col min="2" max="2" width="94.28515625" style="23" customWidth="1"/>
    <col min="3" max="3" width="9.5703125" style="23" customWidth="1"/>
    <col min="4" max="4" width="6.5703125" style="23" customWidth="1"/>
    <col min="5" max="5" width="10" style="41" customWidth="1"/>
    <col min="6" max="6" width="7.42578125" style="41" customWidth="1"/>
    <col min="7" max="7" width="10" style="41" customWidth="1"/>
    <col min="8" max="8" width="16.42578125" style="41" customWidth="1"/>
    <col min="9" max="9" width="14.7109375" style="23" customWidth="1"/>
    <col min="10" max="10" width="9" style="23" customWidth="1"/>
    <col min="11" max="16384" width="9" style="23"/>
  </cols>
  <sheetData>
    <row r="2" spans="1:9" ht="60" customHeight="1" x14ac:dyDescent="0.25">
      <c r="A2" s="60" t="s">
        <v>491</v>
      </c>
      <c r="B2" s="60" t="s">
        <v>492</v>
      </c>
      <c r="C2" s="60" t="s">
        <v>493</v>
      </c>
      <c r="D2" s="61" t="s">
        <v>494</v>
      </c>
      <c r="E2" s="61" t="s">
        <v>495</v>
      </c>
      <c r="F2" s="61" t="s">
        <v>496</v>
      </c>
      <c r="G2" s="8" t="s">
        <v>497</v>
      </c>
      <c r="H2" s="8" t="s">
        <v>498</v>
      </c>
      <c r="I2" s="61" t="s">
        <v>499</v>
      </c>
    </row>
    <row r="3" spans="1:9" ht="74.099999999999994" customHeight="1" x14ac:dyDescent="0.25">
      <c r="A3" s="100" t="s">
        <v>29</v>
      </c>
      <c r="B3" s="32" t="s">
        <v>206</v>
      </c>
      <c r="C3" s="63">
        <v>2</v>
      </c>
      <c r="D3" s="63">
        <v>340</v>
      </c>
      <c r="E3" s="33">
        <v>2479.5</v>
      </c>
      <c r="F3" s="64">
        <v>0.35</v>
      </c>
      <c r="G3" s="33">
        <f>E3*(1-F3)+D3</f>
        <v>1951.675</v>
      </c>
      <c r="H3" s="33">
        <f>G3*C3</f>
        <v>3903.35</v>
      </c>
      <c r="I3" s="65">
        <f>C3*E3</f>
        <v>4959</v>
      </c>
    </row>
    <row r="4" spans="1:9" ht="145.69999999999999" customHeight="1" x14ac:dyDescent="0.25">
      <c r="A4" s="101"/>
      <c r="B4" s="32" t="s">
        <v>210</v>
      </c>
      <c r="C4" s="63">
        <v>2</v>
      </c>
      <c r="D4" s="63"/>
      <c r="E4" s="33">
        <v>2638.5</v>
      </c>
      <c r="F4" s="64">
        <v>0.35</v>
      </c>
      <c r="G4" s="33">
        <f t="shared" ref="G4:G8" si="0">E4*(1-F4)+D4</f>
        <v>1715.0250000000001</v>
      </c>
      <c r="H4" s="33">
        <f t="shared" ref="H4:H8" si="1">G4*C4</f>
        <v>3430.05</v>
      </c>
      <c r="I4" s="65">
        <f t="shared" ref="I4:I8" si="2">C4*E4</f>
        <v>5277</v>
      </c>
    </row>
    <row r="5" spans="1:9" ht="74.099999999999994" customHeight="1" x14ac:dyDescent="0.25">
      <c r="A5" s="103" t="s">
        <v>25</v>
      </c>
      <c r="B5" s="32" t="s">
        <v>144</v>
      </c>
      <c r="C5" s="63">
        <v>2</v>
      </c>
      <c r="D5" s="68">
        <v>180</v>
      </c>
      <c r="E5" s="68">
        <v>1250</v>
      </c>
      <c r="F5" s="64">
        <v>0.35</v>
      </c>
      <c r="G5" s="33">
        <f t="shared" si="0"/>
        <v>992.5</v>
      </c>
      <c r="H5" s="33">
        <f t="shared" si="1"/>
        <v>1985</v>
      </c>
      <c r="I5" s="65">
        <f t="shared" si="2"/>
        <v>2500</v>
      </c>
    </row>
    <row r="6" spans="1:9" ht="140.65" customHeight="1" x14ac:dyDescent="0.25">
      <c r="A6" s="103"/>
      <c r="B6" s="32" t="s">
        <v>148</v>
      </c>
      <c r="C6" s="63">
        <v>2</v>
      </c>
      <c r="D6" s="68"/>
      <c r="E6" s="68">
        <v>766.5</v>
      </c>
      <c r="F6" s="64">
        <v>0.35</v>
      </c>
      <c r="G6" s="33">
        <f t="shared" si="0"/>
        <v>498.22500000000002</v>
      </c>
      <c r="H6" s="33">
        <f t="shared" si="1"/>
        <v>996.45</v>
      </c>
      <c r="I6" s="65">
        <f t="shared" si="2"/>
        <v>1533</v>
      </c>
    </row>
    <row r="7" spans="1:9" ht="74.099999999999994" customHeight="1" x14ac:dyDescent="0.25">
      <c r="A7" s="103" t="s">
        <v>21</v>
      </c>
      <c r="B7" s="32" t="s">
        <v>85</v>
      </c>
      <c r="C7" s="63">
        <v>4</v>
      </c>
      <c r="D7" s="68">
        <v>180</v>
      </c>
      <c r="E7" s="68">
        <v>721</v>
      </c>
      <c r="F7" s="64">
        <v>0.35</v>
      </c>
      <c r="G7" s="33">
        <f t="shared" si="0"/>
        <v>648.65000000000009</v>
      </c>
      <c r="H7" s="33">
        <f t="shared" si="1"/>
        <v>2594.6000000000004</v>
      </c>
      <c r="I7" s="65">
        <f t="shared" si="2"/>
        <v>2884</v>
      </c>
    </row>
    <row r="8" spans="1:9" ht="140.65" customHeight="1" x14ac:dyDescent="0.25">
      <c r="A8" s="103"/>
      <c r="B8" s="32" t="s">
        <v>89</v>
      </c>
      <c r="C8" s="63">
        <v>4</v>
      </c>
      <c r="D8" s="68"/>
      <c r="E8" s="68">
        <v>433</v>
      </c>
      <c r="F8" s="64">
        <v>0.35</v>
      </c>
      <c r="G8" s="33">
        <f t="shared" si="0"/>
        <v>281.45</v>
      </c>
      <c r="H8" s="33">
        <f t="shared" si="1"/>
        <v>1125.8</v>
      </c>
      <c r="I8" s="65">
        <f t="shared" si="2"/>
        <v>1732</v>
      </c>
    </row>
    <row r="9" spans="1:9" ht="37.35" customHeight="1" x14ac:dyDescent="0.25">
      <c r="A9" s="13"/>
      <c r="B9" s="13"/>
      <c r="C9" s="13"/>
      <c r="D9" s="13"/>
      <c r="E9" s="65"/>
      <c r="F9" s="65"/>
      <c r="G9" s="65"/>
      <c r="H9" s="33">
        <f>SUM(H3:H8)</f>
        <v>14035.25</v>
      </c>
      <c r="I9" s="33">
        <f>SUM(I3:I8)</f>
        <v>18885</v>
      </c>
    </row>
  </sheetData>
  <mergeCells count="3">
    <mergeCell ref="A3:A4"/>
    <mergeCell ref="A5:A6"/>
    <mergeCell ref="A7:A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9"/>
  <sheetViews>
    <sheetView zoomScale="81" zoomScaleNormal="90" workbookViewId="0">
      <selection activeCell="A2" sqref="A2"/>
    </sheetView>
  </sheetViews>
  <sheetFormatPr defaultColWidth="9" defaultRowHeight="15" x14ac:dyDescent="0.25"/>
  <cols>
    <col min="1" max="1" width="15.5703125" style="23" customWidth="1"/>
    <col min="2" max="2" width="19.42578125" style="23" customWidth="1"/>
    <col min="3" max="3" width="94.28515625" style="23" customWidth="1"/>
    <col min="4" max="4" width="9.5703125" style="23" customWidth="1"/>
    <col min="5" max="5" width="6.5703125" style="23" customWidth="1"/>
    <col min="6" max="6" width="9.42578125" style="41" customWidth="1"/>
    <col min="7" max="7" width="7.42578125" style="41" customWidth="1"/>
    <col min="8" max="8" width="9.42578125" style="41" customWidth="1"/>
    <col min="9" max="9" width="16.42578125" style="41" customWidth="1"/>
    <col min="10" max="10" width="14.7109375" style="23" customWidth="1"/>
    <col min="11" max="11" width="9" style="23" customWidth="1"/>
    <col min="12" max="16384" width="9" style="23"/>
  </cols>
  <sheetData>
    <row r="2" spans="1:10" ht="60" customHeight="1" x14ac:dyDescent="0.25">
      <c r="A2" s="35" t="s">
        <v>490</v>
      </c>
      <c r="B2" s="60" t="s">
        <v>491</v>
      </c>
      <c r="C2" s="60" t="s">
        <v>492</v>
      </c>
      <c r="D2" s="60" t="s">
        <v>493</v>
      </c>
      <c r="E2" s="61" t="s">
        <v>494</v>
      </c>
      <c r="F2" s="61" t="s">
        <v>495</v>
      </c>
      <c r="G2" s="61" t="s">
        <v>496</v>
      </c>
      <c r="H2" s="8" t="s">
        <v>497</v>
      </c>
      <c r="I2" s="8" t="s">
        <v>498</v>
      </c>
      <c r="J2" s="61" t="s">
        <v>499</v>
      </c>
    </row>
    <row r="3" spans="1:10" ht="74.099999999999994" customHeight="1" x14ac:dyDescent="0.25">
      <c r="A3" s="100" t="s">
        <v>500</v>
      </c>
      <c r="B3" s="100" t="s">
        <v>510</v>
      </c>
      <c r="C3" s="32" t="s">
        <v>206</v>
      </c>
      <c r="D3" s="63">
        <v>2</v>
      </c>
      <c r="E3" s="63">
        <v>340</v>
      </c>
      <c r="F3" s="33">
        <v>2479.5</v>
      </c>
      <c r="G3" s="64">
        <v>0.35</v>
      </c>
      <c r="H3" s="33">
        <f>F3*(1-G3)+E3</f>
        <v>1951.675</v>
      </c>
      <c r="I3" s="33">
        <f>H3*D3</f>
        <v>3903.35</v>
      </c>
      <c r="J3" s="65">
        <f>D3*F3</f>
        <v>4959</v>
      </c>
    </row>
    <row r="4" spans="1:10" ht="138.94999999999999" customHeight="1" x14ac:dyDescent="0.25">
      <c r="A4" s="101"/>
      <c r="B4" s="101"/>
      <c r="C4" s="32" t="s">
        <v>210</v>
      </c>
      <c r="D4" s="63">
        <v>2</v>
      </c>
      <c r="E4" s="63"/>
      <c r="F4" s="33">
        <v>2638.5</v>
      </c>
      <c r="G4" s="64">
        <v>0.35</v>
      </c>
      <c r="H4" s="33">
        <f t="shared" ref="H4:H8" si="0">F4*(1-G4)+E4</f>
        <v>1715.0250000000001</v>
      </c>
      <c r="I4" s="33">
        <f t="shared" ref="I4:I8" si="1">H4*D4</f>
        <v>3430.05</v>
      </c>
      <c r="J4" s="65">
        <f t="shared" ref="J4:J8" si="2">D4*F4</f>
        <v>5277</v>
      </c>
    </row>
    <row r="5" spans="1:10" ht="74.099999999999994" customHeight="1" x14ac:dyDescent="0.25">
      <c r="A5" s="103" t="s">
        <v>503</v>
      </c>
      <c r="B5" s="103" t="s">
        <v>25</v>
      </c>
      <c r="C5" s="32" t="s">
        <v>144</v>
      </c>
      <c r="D5" s="63">
        <v>2</v>
      </c>
      <c r="E5" s="68">
        <v>180</v>
      </c>
      <c r="F5" s="33">
        <v>2479.5</v>
      </c>
      <c r="G5" s="64">
        <v>0.35</v>
      </c>
      <c r="H5" s="33">
        <f t="shared" si="0"/>
        <v>1791.675</v>
      </c>
      <c r="I5" s="33">
        <f t="shared" si="1"/>
        <v>3583.35</v>
      </c>
      <c r="J5" s="65">
        <f t="shared" si="2"/>
        <v>4959</v>
      </c>
    </row>
    <row r="6" spans="1:10" ht="140.65" customHeight="1" x14ac:dyDescent="0.25">
      <c r="A6" s="103"/>
      <c r="B6" s="103"/>
      <c r="C6" s="32" t="s">
        <v>148</v>
      </c>
      <c r="D6" s="63">
        <v>2</v>
      </c>
      <c r="E6" s="68"/>
      <c r="F6" s="33">
        <v>2638.5</v>
      </c>
      <c r="G6" s="64">
        <v>0.35</v>
      </c>
      <c r="H6" s="33">
        <f t="shared" si="0"/>
        <v>1715.0250000000001</v>
      </c>
      <c r="I6" s="33">
        <f t="shared" si="1"/>
        <v>3430.05</v>
      </c>
      <c r="J6" s="65">
        <f t="shared" si="2"/>
        <v>5277</v>
      </c>
    </row>
    <row r="7" spans="1:10" ht="74.099999999999994" customHeight="1" x14ac:dyDescent="0.25">
      <c r="A7" s="103" t="s">
        <v>504</v>
      </c>
      <c r="B7" s="103" t="s">
        <v>25</v>
      </c>
      <c r="C7" s="63" t="s">
        <v>144</v>
      </c>
      <c r="D7" s="63">
        <v>4</v>
      </c>
      <c r="E7" s="68">
        <v>180</v>
      </c>
      <c r="F7" s="68">
        <v>1250</v>
      </c>
      <c r="G7" s="64">
        <v>0.35</v>
      </c>
      <c r="H7" s="33">
        <f t="shared" si="0"/>
        <v>992.5</v>
      </c>
      <c r="I7" s="33">
        <f t="shared" si="1"/>
        <v>3970</v>
      </c>
      <c r="J7" s="65">
        <f t="shared" si="2"/>
        <v>5000</v>
      </c>
    </row>
    <row r="8" spans="1:10" ht="140.65" customHeight="1" x14ac:dyDescent="0.25">
      <c r="A8" s="103"/>
      <c r="B8" s="103"/>
      <c r="C8" s="32" t="s">
        <v>148</v>
      </c>
      <c r="D8" s="63">
        <v>4</v>
      </c>
      <c r="E8" s="68"/>
      <c r="F8" s="68">
        <v>766.5</v>
      </c>
      <c r="G8" s="64">
        <v>0.35</v>
      </c>
      <c r="H8" s="33">
        <f t="shared" si="0"/>
        <v>498.22500000000002</v>
      </c>
      <c r="I8" s="33">
        <f t="shared" si="1"/>
        <v>1992.9</v>
      </c>
      <c r="J8" s="65">
        <f t="shared" si="2"/>
        <v>3066</v>
      </c>
    </row>
    <row r="9" spans="1:10" ht="37.35" customHeight="1" x14ac:dyDescent="0.25">
      <c r="A9" s="13"/>
      <c r="B9" s="13"/>
      <c r="C9" s="13"/>
      <c r="D9" s="13"/>
      <c r="E9" s="13"/>
      <c r="F9" s="65"/>
      <c r="G9" s="65"/>
      <c r="H9" s="65"/>
      <c r="I9" s="33">
        <f>SUM(I3:I8)</f>
        <v>20309.7</v>
      </c>
      <c r="J9" s="33">
        <f>SUM(J3:J8)</f>
        <v>28538</v>
      </c>
    </row>
  </sheetData>
  <mergeCells count="6">
    <mergeCell ref="A3:A4"/>
    <mergeCell ref="B3:B4"/>
    <mergeCell ref="A5:A6"/>
    <mergeCell ref="B5:B6"/>
    <mergeCell ref="A7:A8"/>
    <mergeCell ref="B7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35"/>
  <sheetViews>
    <sheetView zoomScaleNormal="100" workbookViewId="0">
      <selection activeCell="B38" sqref="B38"/>
    </sheetView>
  </sheetViews>
  <sheetFormatPr defaultRowHeight="15" x14ac:dyDescent="0.25"/>
  <cols>
    <col min="2" max="2" width="55.5703125" customWidth="1"/>
    <col min="4" max="4" width="15.85546875" customWidth="1"/>
    <col min="5" max="5" width="23.7109375" customWidth="1"/>
  </cols>
  <sheetData>
    <row r="2" spans="2:2" x14ac:dyDescent="0.25">
      <c r="B2" t="s">
        <v>511</v>
      </c>
    </row>
    <row r="4" spans="2:2" x14ac:dyDescent="0.25">
      <c r="B4" t="s">
        <v>512</v>
      </c>
    </row>
    <row r="6" spans="2:2" x14ac:dyDescent="0.25">
      <c r="B6" t="s">
        <v>513</v>
      </c>
    </row>
    <row r="8" spans="2:2" x14ac:dyDescent="0.25">
      <c r="B8" t="s">
        <v>514</v>
      </c>
    </row>
    <row r="10" spans="2:2" x14ac:dyDescent="0.25">
      <c r="B10">
        <v>2</v>
      </c>
    </row>
    <row r="14" spans="2:2" x14ac:dyDescent="0.25">
      <c r="B14" t="s">
        <v>511</v>
      </c>
    </row>
    <row r="16" spans="2:2" x14ac:dyDescent="0.25">
      <c r="B16" s="22">
        <v>2367</v>
      </c>
    </row>
    <row r="22" spans="2:9" x14ac:dyDescent="0.25">
      <c r="B22">
        <v>0.1</v>
      </c>
    </row>
    <row r="24" spans="2:9" x14ac:dyDescent="0.25">
      <c r="B24">
        <v>2130.3000000000002</v>
      </c>
    </row>
    <row r="25" spans="2:9" ht="15.75" customHeight="1" x14ac:dyDescent="0.25"/>
    <row r="26" spans="2:9" ht="15.75" customHeight="1" x14ac:dyDescent="0.25">
      <c r="B26" s="105" t="s">
        <v>515</v>
      </c>
      <c r="C26" s="106"/>
      <c r="D26" s="107"/>
    </row>
    <row r="27" spans="2:9" ht="30.75" customHeight="1" x14ac:dyDescent="0.25">
      <c r="B27" s="69" t="s">
        <v>516</v>
      </c>
      <c r="C27" s="70" t="s">
        <v>517</v>
      </c>
      <c r="D27" s="70" t="s">
        <v>518</v>
      </c>
    </row>
    <row r="28" spans="2:9" ht="36.4" customHeight="1" x14ac:dyDescent="0.25">
      <c r="B28" s="71" t="s">
        <v>519</v>
      </c>
      <c r="C28" s="72">
        <v>1</v>
      </c>
      <c r="D28" s="73">
        <v>1296</v>
      </c>
      <c r="E28" s="18" t="e">
        <f>#REF!/D28</f>
        <v>#REF!</v>
      </c>
      <c r="G28">
        <f>D28*0.8+90</f>
        <v>1126.8</v>
      </c>
      <c r="H28">
        <f>G28/0.8</f>
        <v>1408.4999999999998</v>
      </c>
      <c r="I28">
        <f>H28*0.8</f>
        <v>1126.8</v>
      </c>
    </row>
    <row r="29" spans="2:9" ht="35.65" customHeight="1" x14ac:dyDescent="0.25">
      <c r="B29" s="71" t="s">
        <v>520</v>
      </c>
      <c r="C29" s="72">
        <v>1</v>
      </c>
      <c r="D29" s="73">
        <v>853</v>
      </c>
      <c r="E29" s="74" t="e">
        <f>#REF!/D29</f>
        <v>#REF!</v>
      </c>
      <c r="G29">
        <f>D29*0.8+90</f>
        <v>772.40000000000009</v>
      </c>
      <c r="H29">
        <f>G29/0.8</f>
        <v>965.50000000000011</v>
      </c>
    </row>
    <row r="34" spans="5:5" x14ac:dyDescent="0.25">
      <c r="E34">
        <f>D28*2*0.8+180</f>
        <v>2253.6</v>
      </c>
    </row>
    <row r="35" spans="5:5" x14ac:dyDescent="0.25">
      <c r="E35">
        <f>H28*2*0.8</f>
        <v>2253.6</v>
      </c>
    </row>
  </sheetData>
  <mergeCells count="1">
    <mergeCell ref="B26:D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9"/>
  <sheetViews>
    <sheetView zoomScale="90" zoomScaleNormal="90" workbookViewId="0">
      <selection activeCell="H12" sqref="H12"/>
    </sheetView>
  </sheetViews>
  <sheetFormatPr defaultColWidth="9" defaultRowHeight="15" x14ac:dyDescent="0.25"/>
  <cols>
    <col min="1" max="1" width="17.5703125" style="23" customWidth="1"/>
    <col min="2" max="2" width="23" style="23" customWidth="1"/>
    <col min="3" max="3" width="56.42578125" style="23" customWidth="1"/>
    <col min="4" max="4" width="61.5703125" style="23" customWidth="1"/>
    <col min="5" max="5" width="89.85546875" style="23" customWidth="1"/>
    <col min="6" max="7" width="19.85546875" style="23" customWidth="1"/>
    <col min="8" max="8" width="14.7109375" style="23" customWidth="1"/>
    <col min="9" max="9" width="9" style="23" customWidth="1"/>
    <col min="10" max="16384" width="9" style="23"/>
  </cols>
  <sheetData>
    <row r="1" spans="1:8" ht="34.5" customHeight="1" x14ac:dyDescent="0.25">
      <c r="A1" s="108" t="s">
        <v>521</v>
      </c>
      <c r="B1" s="108"/>
      <c r="C1" s="108"/>
      <c r="D1" s="108"/>
      <c r="E1" s="108"/>
      <c r="F1" s="108"/>
    </row>
    <row r="2" spans="1:8" ht="18.95" customHeight="1" x14ac:dyDescent="0.25">
      <c r="A2" s="90" t="s">
        <v>42</v>
      </c>
      <c r="B2" s="90"/>
      <c r="C2" s="25"/>
    </row>
    <row r="3" spans="1:8" ht="15.75" customHeight="1" x14ac:dyDescent="0.25"/>
    <row r="4" spans="1:8" ht="31.5" customHeight="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7" t="s">
        <v>48</v>
      </c>
      <c r="G4" s="27" t="s">
        <v>49</v>
      </c>
      <c r="H4" s="27" t="s">
        <v>50</v>
      </c>
    </row>
    <row r="5" spans="1:8" ht="46.5" x14ac:dyDescent="0.25">
      <c r="A5" s="75" t="s">
        <v>522</v>
      </c>
      <c r="B5" s="76"/>
      <c r="C5" s="76"/>
      <c r="D5" s="76"/>
      <c r="E5" s="76"/>
      <c r="F5" s="77"/>
      <c r="G5" s="77"/>
      <c r="H5" s="78"/>
    </row>
    <row r="6" spans="1:8" ht="45" customHeight="1" x14ac:dyDescent="0.25">
      <c r="A6" s="13">
        <v>1</v>
      </c>
      <c r="B6" s="6" t="s">
        <v>523</v>
      </c>
      <c r="C6" s="31" t="s">
        <v>524</v>
      </c>
      <c r="D6" s="31" t="s">
        <v>525</v>
      </c>
      <c r="E6" s="32" t="s">
        <v>526</v>
      </c>
      <c r="F6" s="33">
        <v>495</v>
      </c>
      <c r="G6" s="33"/>
      <c r="H6" s="42"/>
    </row>
    <row r="7" spans="1:8" ht="133.5" customHeight="1" x14ac:dyDescent="0.25">
      <c r="A7" s="13">
        <v>2</v>
      </c>
      <c r="B7" s="6" t="s">
        <v>527</v>
      </c>
      <c r="C7" s="31" t="s">
        <v>528</v>
      </c>
      <c r="D7" s="31" t="s">
        <v>529</v>
      </c>
      <c r="E7" s="32" t="s">
        <v>530</v>
      </c>
      <c r="F7" s="33">
        <v>923.4</v>
      </c>
      <c r="G7" s="33"/>
      <c r="H7" s="42"/>
    </row>
    <row r="8" spans="1:8" ht="35.450000000000003" customHeight="1" x14ac:dyDescent="0.25">
      <c r="A8" s="13">
        <v>3</v>
      </c>
      <c r="B8" s="6" t="s">
        <v>531</v>
      </c>
      <c r="C8" s="31" t="s">
        <v>532</v>
      </c>
      <c r="D8" s="31" t="s">
        <v>533</v>
      </c>
      <c r="E8" s="32" t="s">
        <v>534</v>
      </c>
      <c r="F8" s="33">
        <v>138.6</v>
      </c>
      <c r="G8" s="33"/>
      <c r="H8" s="42"/>
    </row>
    <row r="9" spans="1:8" ht="28.5" customHeight="1" x14ac:dyDescent="0.25">
      <c r="A9" s="13">
        <v>4</v>
      </c>
      <c r="B9" s="6" t="s">
        <v>535</v>
      </c>
      <c r="C9" s="31" t="s">
        <v>536</v>
      </c>
      <c r="D9" s="31" t="s">
        <v>537</v>
      </c>
      <c r="E9" s="32" t="s">
        <v>538</v>
      </c>
      <c r="F9" s="33">
        <v>138.6</v>
      </c>
      <c r="G9" s="33"/>
      <c r="H9" s="42"/>
    </row>
    <row r="10" spans="1:8" ht="25.35" customHeight="1" x14ac:dyDescent="0.25">
      <c r="A10" s="75" t="s">
        <v>539</v>
      </c>
      <c r="B10" s="76"/>
      <c r="C10" s="76"/>
      <c r="D10" s="76"/>
      <c r="E10" s="76"/>
      <c r="F10" s="77"/>
      <c r="G10" s="77"/>
      <c r="H10" s="78"/>
    </row>
    <row r="11" spans="1:8" ht="45" customHeight="1" x14ac:dyDescent="0.25">
      <c r="A11" s="13">
        <v>1</v>
      </c>
      <c r="B11" s="6" t="s">
        <v>540</v>
      </c>
      <c r="C11" s="31" t="s">
        <v>541</v>
      </c>
      <c r="D11" s="31" t="s">
        <v>542</v>
      </c>
      <c r="E11" s="32" t="s">
        <v>543</v>
      </c>
      <c r="F11" s="33">
        <v>1195</v>
      </c>
      <c r="G11" s="33"/>
      <c r="H11" s="42"/>
    </row>
    <row r="12" spans="1:8" ht="134.1" customHeight="1" x14ac:dyDescent="0.25">
      <c r="A12" s="13">
        <v>2</v>
      </c>
      <c r="B12" s="6" t="s">
        <v>544</v>
      </c>
      <c r="C12" s="31" t="s">
        <v>545</v>
      </c>
      <c r="D12" s="31" t="s">
        <v>546</v>
      </c>
      <c r="E12" s="32" t="s">
        <v>547</v>
      </c>
      <c r="F12" s="33">
        <v>2229</v>
      </c>
      <c r="G12" s="33"/>
      <c r="H12" s="42"/>
    </row>
    <row r="13" spans="1:8" ht="30" customHeight="1" x14ac:dyDescent="0.25">
      <c r="A13" s="13">
        <v>3</v>
      </c>
      <c r="B13" s="6" t="s">
        <v>548</v>
      </c>
      <c r="C13" s="31" t="s">
        <v>549</v>
      </c>
      <c r="D13" s="31" t="s">
        <v>550</v>
      </c>
      <c r="E13" s="32" t="s">
        <v>551</v>
      </c>
      <c r="F13" s="33">
        <v>334.2</v>
      </c>
      <c r="G13" s="33"/>
      <c r="H13" s="42"/>
    </row>
    <row r="14" spans="1:8" ht="30" customHeight="1" x14ac:dyDescent="0.25">
      <c r="A14" s="13">
        <v>4</v>
      </c>
      <c r="B14" s="6" t="s">
        <v>552</v>
      </c>
      <c r="C14" s="31" t="s">
        <v>553</v>
      </c>
      <c r="D14" s="31" t="s">
        <v>554</v>
      </c>
      <c r="E14" s="32" t="s">
        <v>555</v>
      </c>
      <c r="F14" s="33">
        <v>334.2</v>
      </c>
      <c r="G14" s="33"/>
      <c r="H14" s="42"/>
    </row>
    <row r="15" spans="1:8" ht="46.5" x14ac:dyDescent="0.25">
      <c r="A15" s="75" t="s">
        <v>556</v>
      </c>
      <c r="B15" s="76"/>
      <c r="C15" s="76"/>
      <c r="D15" s="76"/>
      <c r="E15" s="76"/>
      <c r="F15" s="77"/>
      <c r="G15" s="77"/>
      <c r="H15" s="78"/>
    </row>
    <row r="16" spans="1:8" ht="45" customHeight="1" x14ac:dyDescent="0.25">
      <c r="A16" s="13">
        <v>1</v>
      </c>
      <c r="B16" s="6" t="s">
        <v>557</v>
      </c>
      <c r="C16" s="31" t="s">
        <v>558</v>
      </c>
      <c r="D16" s="31" t="s">
        <v>559</v>
      </c>
      <c r="E16" s="32" t="s">
        <v>560</v>
      </c>
      <c r="F16" s="33">
        <v>2295</v>
      </c>
      <c r="G16" s="33"/>
      <c r="H16" s="42"/>
    </row>
    <row r="17" spans="1:8" ht="133.15" customHeight="1" x14ac:dyDescent="0.25">
      <c r="A17" s="13">
        <v>2</v>
      </c>
      <c r="B17" s="6" t="s">
        <v>561</v>
      </c>
      <c r="C17" s="31" t="s">
        <v>562</v>
      </c>
      <c r="D17" s="31" t="s">
        <v>563</v>
      </c>
      <c r="E17" s="32" t="s">
        <v>564</v>
      </c>
      <c r="F17" s="33">
        <v>4281</v>
      </c>
      <c r="G17" s="33"/>
      <c r="H17" s="42"/>
    </row>
    <row r="18" spans="1:8" ht="30" customHeight="1" x14ac:dyDescent="0.25">
      <c r="A18" s="13">
        <v>3</v>
      </c>
      <c r="B18" s="6" t="s">
        <v>565</v>
      </c>
      <c r="C18" s="31" t="s">
        <v>566</v>
      </c>
      <c r="D18" s="31" t="s">
        <v>567</v>
      </c>
      <c r="E18" s="32" t="s">
        <v>568</v>
      </c>
      <c r="F18" s="33">
        <v>642</v>
      </c>
      <c r="G18" s="33"/>
      <c r="H18" s="42"/>
    </row>
    <row r="19" spans="1:8" ht="30" customHeight="1" x14ac:dyDescent="0.25">
      <c r="A19" s="13">
        <v>4</v>
      </c>
      <c r="B19" s="6" t="s">
        <v>569</v>
      </c>
      <c r="C19" s="31" t="s">
        <v>570</v>
      </c>
      <c r="D19" s="31" t="s">
        <v>571</v>
      </c>
      <c r="E19" s="32" t="s">
        <v>572</v>
      </c>
      <c r="F19" s="33">
        <v>642</v>
      </c>
      <c r="G19" s="33"/>
      <c r="H19" s="42"/>
    </row>
    <row r="20" spans="1:8" ht="46.5" x14ac:dyDescent="0.25">
      <c r="A20" s="75" t="s">
        <v>573</v>
      </c>
      <c r="B20" s="76"/>
      <c r="C20" s="76"/>
      <c r="D20" s="76"/>
      <c r="E20" s="76"/>
      <c r="F20" s="77"/>
      <c r="G20" s="77"/>
      <c r="H20" s="78"/>
    </row>
    <row r="21" spans="1:8" ht="45" customHeight="1" x14ac:dyDescent="0.25">
      <c r="A21" s="13">
        <v>1</v>
      </c>
      <c r="B21" s="6" t="s">
        <v>574</v>
      </c>
      <c r="C21" s="31" t="s">
        <v>575</v>
      </c>
      <c r="D21" s="31" t="s">
        <v>576</v>
      </c>
      <c r="E21" s="32" t="s">
        <v>577</v>
      </c>
      <c r="F21" s="33">
        <v>3845</v>
      </c>
      <c r="G21" s="33"/>
      <c r="H21" s="42"/>
    </row>
    <row r="22" spans="1:8" ht="137.1" customHeight="1" x14ac:dyDescent="0.25">
      <c r="A22" s="13">
        <v>2</v>
      </c>
      <c r="B22" s="6" t="s">
        <v>578</v>
      </c>
      <c r="C22" s="31" t="s">
        <v>579</v>
      </c>
      <c r="D22" s="31" t="s">
        <v>580</v>
      </c>
      <c r="E22" s="32" t="s">
        <v>581</v>
      </c>
      <c r="F22" s="33">
        <v>7171.2</v>
      </c>
      <c r="G22" s="33"/>
      <c r="H22" s="42"/>
    </row>
    <row r="23" spans="1:8" ht="30" customHeight="1" x14ac:dyDescent="0.25">
      <c r="A23" s="13">
        <v>3</v>
      </c>
      <c r="B23" s="6" t="s">
        <v>582</v>
      </c>
      <c r="C23" s="31" t="s">
        <v>583</v>
      </c>
      <c r="D23" s="31" t="s">
        <v>584</v>
      </c>
      <c r="E23" s="32" t="s">
        <v>585</v>
      </c>
      <c r="F23" s="33">
        <v>1075.8</v>
      </c>
      <c r="G23" s="33"/>
      <c r="H23" s="42"/>
    </row>
    <row r="24" spans="1:8" ht="30" customHeight="1" x14ac:dyDescent="0.25">
      <c r="A24" s="13">
        <v>4</v>
      </c>
      <c r="B24" s="6" t="s">
        <v>586</v>
      </c>
      <c r="C24" s="31" t="s">
        <v>587</v>
      </c>
      <c r="D24" s="31" t="s">
        <v>588</v>
      </c>
      <c r="E24" s="32" t="s">
        <v>589</v>
      </c>
      <c r="F24" s="33">
        <v>1075.8</v>
      </c>
      <c r="G24" s="33"/>
      <c r="H24" s="42"/>
    </row>
    <row r="25" spans="1:8" ht="46.5" x14ac:dyDescent="0.25">
      <c r="A25" s="75" t="s">
        <v>590</v>
      </c>
      <c r="B25" s="76"/>
      <c r="C25" s="76"/>
      <c r="D25" s="76"/>
      <c r="E25" s="76"/>
      <c r="F25" s="77"/>
      <c r="G25" s="77"/>
      <c r="H25" s="78"/>
    </row>
    <row r="26" spans="1:8" ht="45" customHeight="1" x14ac:dyDescent="0.25">
      <c r="A26" s="13">
        <v>1</v>
      </c>
      <c r="B26" s="6" t="s">
        <v>591</v>
      </c>
      <c r="C26" s="31" t="s">
        <v>592</v>
      </c>
      <c r="D26" s="31" t="s">
        <v>593</v>
      </c>
      <c r="E26" s="32" t="s">
        <v>594</v>
      </c>
      <c r="F26" s="33">
        <v>5995</v>
      </c>
      <c r="G26" s="33"/>
      <c r="H26" s="42"/>
    </row>
    <row r="27" spans="1:8" ht="195" customHeight="1" x14ac:dyDescent="0.25">
      <c r="A27" s="13">
        <v>2</v>
      </c>
      <c r="B27" s="6" t="s">
        <v>595</v>
      </c>
      <c r="C27" s="31" t="s">
        <v>596</v>
      </c>
      <c r="D27" s="31" t="s">
        <v>597</v>
      </c>
      <c r="E27" s="32" t="s">
        <v>598</v>
      </c>
      <c r="F27" s="33">
        <v>11182.2</v>
      </c>
      <c r="G27" s="33"/>
      <c r="H27" s="42"/>
    </row>
    <row r="28" spans="1:8" ht="30" customHeight="1" x14ac:dyDescent="0.25">
      <c r="A28" s="13">
        <v>3</v>
      </c>
      <c r="B28" s="6" t="s">
        <v>599</v>
      </c>
      <c r="C28" s="31" t="s">
        <v>600</v>
      </c>
      <c r="D28" s="31" t="s">
        <v>601</v>
      </c>
      <c r="E28" s="32" t="s">
        <v>602</v>
      </c>
      <c r="F28" s="33">
        <v>1677.6</v>
      </c>
      <c r="G28" s="33"/>
      <c r="H28" s="42"/>
    </row>
    <row r="29" spans="1:8" ht="30" customHeight="1" x14ac:dyDescent="0.25">
      <c r="A29" s="13">
        <v>4</v>
      </c>
      <c r="B29" s="6" t="s">
        <v>603</v>
      </c>
      <c r="C29" s="31" t="s">
        <v>604</v>
      </c>
      <c r="D29" s="31" t="s">
        <v>605</v>
      </c>
      <c r="E29" s="32" t="s">
        <v>606</v>
      </c>
      <c r="F29" s="33">
        <v>1677.6</v>
      </c>
      <c r="G29" s="33"/>
      <c r="H29" s="42"/>
    </row>
    <row r="30" spans="1:8" ht="46.5" x14ac:dyDescent="0.25">
      <c r="A30" s="75" t="s">
        <v>607</v>
      </c>
      <c r="B30" s="76"/>
      <c r="C30" s="76"/>
      <c r="D30" s="76"/>
      <c r="E30" s="76"/>
      <c r="F30" s="77"/>
      <c r="G30" s="77"/>
      <c r="H30" s="78"/>
    </row>
    <row r="31" spans="1:8" ht="45" customHeight="1" x14ac:dyDescent="0.25">
      <c r="A31" s="13">
        <v>1</v>
      </c>
      <c r="B31" s="6" t="s">
        <v>608</v>
      </c>
      <c r="C31" s="31" t="s">
        <v>609</v>
      </c>
      <c r="D31" s="31" t="s">
        <v>610</v>
      </c>
      <c r="E31" s="32" t="s">
        <v>611</v>
      </c>
      <c r="F31" s="33">
        <v>10995</v>
      </c>
      <c r="G31" s="33"/>
      <c r="H31" s="42"/>
    </row>
    <row r="32" spans="1:8" ht="195" customHeight="1" x14ac:dyDescent="0.25">
      <c r="A32" s="13">
        <v>2</v>
      </c>
      <c r="B32" s="6" t="s">
        <v>612</v>
      </c>
      <c r="C32" s="31" t="s">
        <v>613</v>
      </c>
      <c r="D32" s="31" t="s">
        <v>614</v>
      </c>
      <c r="E32" s="32" t="s">
        <v>615</v>
      </c>
      <c r="F32" s="33">
        <v>20508</v>
      </c>
      <c r="G32" s="33"/>
      <c r="H32" s="42"/>
    </row>
    <row r="33" spans="1:8" ht="30" customHeight="1" x14ac:dyDescent="0.25">
      <c r="A33" s="13">
        <v>3</v>
      </c>
      <c r="B33" s="6" t="s">
        <v>616</v>
      </c>
      <c r="C33" s="31" t="s">
        <v>617</v>
      </c>
      <c r="D33" s="31" t="s">
        <v>618</v>
      </c>
      <c r="E33" s="32" t="s">
        <v>619</v>
      </c>
      <c r="F33" s="33">
        <v>3076.2</v>
      </c>
      <c r="G33" s="33"/>
      <c r="H33" s="42"/>
    </row>
    <row r="34" spans="1:8" ht="30" customHeight="1" x14ac:dyDescent="0.25">
      <c r="A34" s="13">
        <v>4</v>
      </c>
      <c r="B34" s="6" t="s">
        <v>620</v>
      </c>
      <c r="C34" s="31" t="s">
        <v>621</v>
      </c>
      <c r="D34" s="31" t="s">
        <v>622</v>
      </c>
      <c r="E34" s="32" t="s">
        <v>623</v>
      </c>
      <c r="F34" s="33">
        <v>3076.2</v>
      </c>
      <c r="G34" s="33"/>
      <c r="H34" s="42"/>
    </row>
    <row r="35" spans="1:8" ht="46.5" x14ac:dyDescent="0.25">
      <c r="A35" s="75" t="s">
        <v>624</v>
      </c>
      <c r="B35" s="76"/>
      <c r="C35" s="76"/>
      <c r="D35" s="76"/>
      <c r="E35" s="76"/>
      <c r="F35" s="77"/>
      <c r="G35" s="77"/>
      <c r="H35" s="78"/>
    </row>
    <row r="36" spans="1:8" ht="45" customHeight="1" x14ac:dyDescent="0.25">
      <c r="A36" s="13">
        <v>1</v>
      </c>
      <c r="B36" s="6" t="s">
        <v>625</v>
      </c>
      <c r="C36" s="31" t="s">
        <v>626</v>
      </c>
      <c r="D36" s="31" t="s">
        <v>627</v>
      </c>
      <c r="E36" s="32" t="s">
        <v>628</v>
      </c>
      <c r="F36" s="33">
        <v>14995</v>
      </c>
      <c r="G36" s="33"/>
      <c r="H36" s="42"/>
    </row>
    <row r="37" spans="1:8" ht="195" customHeight="1" x14ac:dyDescent="0.25">
      <c r="A37" s="13">
        <v>2</v>
      </c>
      <c r="B37" s="6" t="s">
        <v>629</v>
      </c>
      <c r="C37" s="31" t="s">
        <v>630</v>
      </c>
      <c r="D37" s="31" t="s">
        <v>631</v>
      </c>
      <c r="E37" s="32" t="s">
        <v>632</v>
      </c>
      <c r="F37" s="33">
        <v>27968.400000000001</v>
      </c>
      <c r="G37" s="33"/>
      <c r="H37" s="42"/>
    </row>
    <row r="38" spans="1:8" ht="30" customHeight="1" x14ac:dyDescent="0.25">
      <c r="A38" s="13">
        <v>3</v>
      </c>
      <c r="B38" s="6" t="s">
        <v>633</v>
      </c>
      <c r="C38" s="31" t="s">
        <v>634</v>
      </c>
      <c r="D38" s="31" t="s">
        <v>635</v>
      </c>
      <c r="E38" s="32" t="s">
        <v>636</v>
      </c>
      <c r="F38" s="33">
        <v>4195.2</v>
      </c>
      <c r="G38" s="33"/>
      <c r="H38" s="42"/>
    </row>
    <row r="39" spans="1:8" ht="30" customHeight="1" x14ac:dyDescent="0.25">
      <c r="A39" s="13">
        <v>4</v>
      </c>
      <c r="B39" s="6" t="s">
        <v>637</v>
      </c>
      <c r="C39" s="31" t="s">
        <v>638</v>
      </c>
      <c r="D39" s="31" t="s">
        <v>639</v>
      </c>
      <c r="E39" s="32" t="s">
        <v>640</v>
      </c>
      <c r="F39" s="33">
        <v>4195.2</v>
      </c>
      <c r="G39" s="33"/>
      <c r="H39" s="42"/>
    </row>
  </sheetData>
  <mergeCells count="2">
    <mergeCell ref="A1:F1"/>
    <mergeCell ref="A2:B2"/>
  </mergeCells>
  <pageMargins left="0.7" right="0.7" top="0.75" bottom="0.75" header="0.3" footer="0.3"/>
  <pageSetup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zoomScaleNormal="100" workbookViewId="0">
      <selection activeCell="C14" sqref="C14"/>
    </sheetView>
  </sheetViews>
  <sheetFormatPr defaultColWidth="9" defaultRowHeight="15" x14ac:dyDescent="0.25"/>
  <cols>
    <col min="1" max="1" width="17.5703125" style="23" customWidth="1"/>
    <col min="2" max="2" width="23" style="23" customWidth="1"/>
    <col min="3" max="3" width="56.42578125" style="23" customWidth="1"/>
    <col min="4" max="4" width="61.5703125" style="23" customWidth="1"/>
    <col min="5" max="5" width="89.85546875" style="23" customWidth="1"/>
    <col min="6" max="7" width="19.85546875" style="23" customWidth="1"/>
    <col min="8" max="8" width="14.7109375" style="23" customWidth="1"/>
    <col min="9" max="10" width="14.85546875" style="23" customWidth="1"/>
    <col min="11" max="11" width="9" style="23" customWidth="1"/>
    <col min="12" max="16384" width="9" style="23"/>
  </cols>
  <sheetData>
    <row r="1" spans="1:8" ht="31.35" customHeight="1" x14ac:dyDescent="0.25">
      <c r="A1" s="109" t="s">
        <v>641</v>
      </c>
      <c r="B1" s="109"/>
      <c r="C1" s="109"/>
      <c r="D1" s="109"/>
      <c r="E1" s="109"/>
      <c r="F1" s="109"/>
    </row>
    <row r="2" spans="1:8" ht="19.350000000000001" customHeight="1" x14ac:dyDescent="0.25">
      <c r="A2" s="90" t="s">
        <v>42</v>
      </c>
      <c r="B2" s="90"/>
      <c r="C2" s="25"/>
    </row>
    <row r="3" spans="1:8" ht="15.75" customHeight="1" x14ac:dyDescent="0.25"/>
    <row r="4" spans="1:8" ht="26.1" customHeight="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7" t="s">
        <v>48</v>
      </c>
      <c r="G4" s="27" t="s">
        <v>49</v>
      </c>
      <c r="H4" s="27" t="s">
        <v>50</v>
      </c>
    </row>
    <row r="5" spans="1:8" ht="49.5" customHeight="1" x14ac:dyDescent="0.25">
      <c r="A5" s="79" t="s">
        <v>642</v>
      </c>
      <c r="B5" s="80"/>
      <c r="C5" s="80"/>
      <c r="D5" s="80"/>
      <c r="E5" s="80"/>
      <c r="F5" s="81"/>
      <c r="G5" s="81"/>
      <c r="H5" s="82"/>
    </row>
    <row r="6" spans="1:8" ht="135.75" customHeight="1" x14ac:dyDescent="0.25">
      <c r="A6" s="13">
        <v>1</v>
      </c>
      <c r="B6" s="6" t="s">
        <v>643</v>
      </c>
      <c r="C6" s="31" t="s">
        <v>644</v>
      </c>
      <c r="D6" s="31" t="s">
        <v>645</v>
      </c>
      <c r="E6" s="32" t="s">
        <v>646</v>
      </c>
      <c r="F6" s="33">
        <v>121</v>
      </c>
      <c r="G6" s="33"/>
      <c r="H6" s="42"/>
    </row>
    <row r="7" spans="1:8" ht="135.75" customHeight="1" x14ac:dyDescent="0.25">
      <c r="A7" s="13">
        <v>2</v>
      </c>
      <c r="B7" s="6" t="s">
        <v>647</v>
      </c>
      <c r="C7" s="31" t="s">
        <v>644</v>
      </c>
      <c r="D7" s="31" t="s">
        <v>648</v>
      </c>
      <c r="E7" s="32" t="s">
        <v>646</v>
      </c>
      <c r="F7" s="33">
        <v>115</v>
      </c>
      <c r="G7" s="33"/>
      <c r="H7" s="42"/>
    </row>
    <row r="8" spans="1:8" ht="135.75" customHeight="1" x14ac:dyDescent="0.25">
      <c r="A8" s="13">
        <v>3</v>
      </c>
      <c r="B8" s="6" t="s">
        <v>649</v>
      </c>
      <c r="C8" s="31" t="s">
        <v>644</v>
      </c>
      <c r="D8" s="31" t="s">
        <v>650</v>
      </c>
      <c r="E8" s="32" t="s">
        <v>646</v>
      </c>
      <c r="F8" s="33">
        <v>105</v>
      </c>
      <c r="G8" s="33"/>
      <c r="H8" s="42"/>
    </row>
    <row r="9" spans="1:8" ht="135.75" customHeight="1" x14ac:dyDescent="0.25">
      <c r="A9" s="13">
        <v>4</v>
      </c>
      <c r="B9" s="6" t="s">
        <v>651</v>
      </c>
      <c r="C9" s="31" t="s">
        <v>644</v>
      </c>
      <c r="D9" s="31" t="s">
        <v>652</v>
      </c>
      <c r="E9" s="32" t="s">
        <v>646</v>
      </c>
      <c r="F9" s="33">
        <v>99</v>
      </c>
      <c r="G9" s="33"/>
      <c r="H9" s="42"/>
    </row>
    <row r="10" spans="1:8" ht="135.75" customHeight="1" x14ac:dyDescent="0.25">
      <c r="A10" s="13">
        <v>5</v>
      </c>
      <c r="B10" s="6" t="s">
        <v>653</v>
      </c>
      <c r="C10" s="31" t="s">
        <v>644</v>
      </c>
      <c r="D10" s="31" t="s">
        <v>654</v>
      </c>
      <c r="E10" s="32" t="s">
        <v>646</v>
      </c>
      <c r="F10" s="33">
        <v>89</v>
      </c>
      <c r="G10" s="33"/>
      <c r="H10" s="42"/>
    </row>
    <row r="11" spans="1:8" ht="135.75" customHeight="1" x14ac:dyDescent="0.25">
      <c r="A11" s="13">
        <v>6</v>
      </c>
      <c r="B11" s="6" t="s">
        <v>655</v>
      </c>
      <c r="C11" s="31" t="s">
        <v>644</v>
      </c>
      <c r="D11" s="31" t="s">
        <v>656</v>
      </c>
      <c r="E11" s="32" t="s">
        <v>646</v>
      </c>
      <c r="F11" s="33">
        <v>86</v>
      </c>
      <c r="G11" s="33"/>
      <c r="H11" s="42"/>
    </row>
    <row r="12" spans="1:8" ht="65.45" customHeight="1" x14ac:dyDescent="0.25">
      <c r="A12" s="79" t="s">
        <v>657</v>
      </c>
      <c r="B12" s="80"/>
      <c r="C12" s="80"/>
      <c r="D12" s="80"/>
      <c r="E12" s="80"/>
      <c r="F12" s="81"/>
      <c r="G12" s="81"/>
      <c r="H12" s="82"/>
    </row>
    <row r="13" spans="1:8" ht="135.75" customHeight="1" x14ac:dyDescent="0.25">
      <c r="A13" s="13">
        <v>1</v>
      </c>
      <c r="B13" s="6" t="s">
        <v>658</v>
      </c>
      <c r="C13" s="31" t="s">
        <v>659</v>
      </c>
      <c r="D13" s="31" t="s">
        <v>660</v>
      </c>
      <c r="E13" s="32" t="s">
        <v>661</v>
      </c>
      <c r="F13" s="33">
        <v>120</v>
      </c>
      <c r="G13" s="33"/>
      <c r="H13" s="42"/>
    </row>
    <row r="14" spans="1:8" ht="135.75" customHeight="1" x14ac:dyDescent="0.25">
      <c r="A14" s="13">
        <v>2</v>
      </c>
      <c r="B14" s="6" t="s">
        <v>662</v>
      </c>
      <c r="C14" s="31" t="s">
        <v>659</v>
      </c>
      <c r="D14" s="31" t="s">
        <v>663</v>
      </c>
      <c r="E14" s="32" t="s">
        <v>661</v>
      </c>
      <c r="F14" s="33">
        <v>55.46</v>
      </c>
      <c r="G14" s="33"/>
      <c r="H14" s="42"/>
    </row>
    <row r="15" spans="1:8" ht="135.75" customHeight="1" x14ac:dyDescent="0.25">
      <c r="A15" s="13">
        <v>3</v>
      </c>
      <c r="B15" s="6" t="s">
        <v>664</v>
      </c>
      <c r="C15" s="31" t="s">
        <v>659</v>
      </c>
      <c r="D15" s="31" t="s">
        <v>665</v>
      </c>
      <c r="E15" s="32" t="s">
        <v>661</v>
      </c>
      <c r="F15" s="33">
        <v>55.46</v>
      </c>
      <c r="G15" s="33"/>
      <c r="H15" s="42"/>
    </row>
    <row r="16" spans="1:8" ht="135.75" customHeight="1" x14ac:dyDescent="0.25">
      <c r="A16" s="13">
        <v>4</v>
      </c>
      <c r="B16" s="6" t="s">
        <v>666</v>
      </c>
      <c r="C16" s="31" t="s">
        <v>659</v>
      </c>
      <c r="D16" s="31" t="s">
        <v>667</v>
      </c>
      <c r="E16" s="32" t="s">
        <v>661</v>
      </c>
      <c r="F16" s="33">
        <v>50.42</v>
      </c>
      <c r="G16" s="33"/>
      <c r="H16" s="42"/>
    </row>
    <row r="17" spans="1:8" ht="135.75" customHeight="1" x14ac:dyDescent="0.25">
      <c r="A17" s="13">
        <v>5</v>
      </c>
      <c r="B17" s="6" t="s">
        <v>668</v>
      </c>
      <c r="C17" s="31" t="s">
        <v>659</v>
      </c>
      <c r="D17" s="31" t="s">
        <v>669</v>
      </c>
      <c r="E17" s="32" t="s">
        <v>661</v>
      </c>
      <c r="F17" s="33">
        <v>50.42</v>
      </c>
      <c r="G17" s="33"/>
      <c r="H17" s="42"/>
    </row>
    <row r="18" spans="1:8" ht="135.75" customHeight="1" x14ac:dyDescent="0.25">
      <c r="A18" s="13">
        <v>6</v>
      </c>
      <c r="B18" s="6" t="s">
        <v>670</v>
      </c>
      <c r="C18" s="31" t="s">
        <v>659</v>
      </c>
      <c r="D18" s="31" t="s">
        <v>671</v>
      </c>
      <c r="E18" s="32" t="s">
        <v>661</v>
      </c>
      <c r="F18" s="33">
        <v>50.42</v>
      </c>
      <c r="G18" s="33"/>
      <c r="H18" s="42"/>
    </row>
    <row r="19" spans="1:8" ht="72.400000000000006" customHeight="1" x14ac:dyDescent="0.25">
      <c r="A19" s="79" t="s">
        <v>672</v>
      </c>
      <c r="B19" s="80"/>
      <c r="C19" s="80"/>
      <c r="D19" s="80"/>
      <c r="E19" s="80"/>
      <c r="F19" s="81"/>
      <c r="G19" s="81"/>
      <c r="H19" s="82"/>
    </row>
    <row r="20" spans="1:8" ht="135.75" customHeight="1" x14ac:dyDescent="0.25">
      <c r="A20" s="13">
        <v>1</v>
      </c>
      <c r="B20" s="6" t="s">
        <v>673</v>
      </c>
      <c r="C20" s="31" t="s">
        <v>674</v>
      </c>
      <c r="D20" s="31" t="s">
        <v>675</v>
      </c>
      <c r="E20" s="32" t="s">
        <v>676</v>
      </c>
      <c r="F20" s="33">
        <v>91.8</v>
      </c>
      <c r="G20" s="33"/>
      <c r="H20" s="42"/>
    </row>
    <row r="21" spans="1:8" ht="135.75" customHeight="1" x14ac:dyDescent="0.25">
      <c r="A21" s="13">
        <v>2</v>
      </c>
      <c r="B21" s="6" t="s">
        <v>677</v>
      </c>
      <c r="C21" s="31" t="s">
        <v>674</v>
      </c>
      <c r="D21" s="31" t="s">
        <v>678</v>
      </c>
      <c r="E21" s="32" t="s">
        <v>676</v>
      </c>
      <c r="F21" s="33">
        <v>76.569999999999993</v>
      </c>
      <c r="G21" s="33"/>
      <c r="H21" s="42"/>
    </row>
    <row r="22" spans="1:8" ht="135.75" customHeight="1" x14ac:dyDescent="0.25">
      <c r="A22" s="13">
        <v>3</v>
      </c>
      <c r="B22" s="6" t="s">
        <v>679</v>
      </c>
      <c r="C22" s="31" t="s">
        <v>674</v>
      </c>
      <c r="D22" s="31" t="s">
        <v>680</v>
      </c>
      <c r="E22" s="32" t="s">
        <v>676</v>
      </c>
      <c r="F22" s="33">
        <v>66.099999999999994</v>
      </c>
      <c r="G22" s="33"/>
      <c r="H22" s="42"/>
    </row>
    <row r="23" spans="1:8" ht="135.75" customHeight="1" x14ac:dyDescent="0.25">
      <c r="A23" s="13">
        <v>4</v>
      </c>
      <c r="B23" s="6" t="s">
        <v>681</v>
      </c>
      <c r="C23" s="31" t="s">
        <v>674</v>
      </c>
      <c r="D23" s="31" t="s">
        <v>682</v>
      </c>
      <c r="E23" s="32" t="s">
        <v>676</v>
      </c>
      <c r="F23" s="33">
        <v>59.03</v>
      </c>
      <c r="G23" s="33"/>
      <c r="H23" s="42"/>
    </row>
    <row r="24" spans="1:8" ht="135.75" customHeight="1" x14ac:dyDescent="0.25">
      <c r="A24" s="13">
        <v>5</v>
      </c>
      <c r="B24" s="6" t="s">
        <v>683</v>
      </c>
      <c r="C24" s="31" t="s">
        <v>674</v>
      </c>
      <c r="D24" s="31" t="s">
        <v>684</v>
      </c>
      <c r="E24" s="32" t="s">
        <v>676</v>
      </c>
      <c r="F24" s="33">
        <v>54.7</v>
      </c>
      <c r="G24" s="33"/>
      <c r="H24" s="42"/>
    </row>
    <row r="25" spans="1:8" ht="135.75" customHeight="1" x14ac:dyDescent="0.25">
      <c r="A25" s="13">
        <v>6</v>
      </c>
      <c r="B25" s="6" t="s">
        <v>685</v>
      </c>
      <c r="C25" s="31" t="s">
        <v>674</v>
      </c>
      <c r="D25" s="31" t="s">
        <v>686</v>
      </c>
      <c r="E25" s="32" t="s">
        <v>676</v>
      </c>
      <c r="F25" s="33">
        <v>52.67</v>
      </c>
      <c r="G25" s="33"/>
      <c r="H25" s="42"/>
    </row>
    <row r="26" spans="1:8" ht="135.75" customHeight="1" x14ac:dyDescent="0.25">
      <c r="A26" s="13">
        <v>7</v>
      </c>
      <c r="B26" s="6" t="s">
        <v>687</v>
      </c>
      <c r="C26" s="31" t="s">
        <v>674</v>
      </c>
      <c r="D26" s="31" t="s">
        <v>688</v>
      </c>
      <c r="E26" s="32" t="s">
        <v>676</v>
      </c>
      <c r="F26" s="33">
        <v>50.53</v>
      </c>
      <c r="G26" s="33"/>
      <c r="H26" s="42"/>
    </row>
  </sheetData>
  <mergeCells count="2">
    <mergeCell ref="A1:F1"/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M112"/>
  <sheetViews>
    <sheetView zoomScaleNormal="100" workbookViewId="0">
      <selection activeCell="E52" sqref="E52"/>
    </sheetView>
  </sheetViews>
  <sheetFormatPr defaultRowHeight="15" x14ac:dyDescent="0.25"/>
  <cols>
    <col min="5" max="5" width="27.42578125" customWidth="1"/>
  </cols>
  <sheetData>
    <row r="2" spans="2:13" x14ac:dyDescent="0.25">
      <c r="B2" s="12"/>
      <c r="C2" t="s">
        <v>30</v>
      </c>
    </row>
    <row r="4" spans="2:13" x14ac:dyDescent="0.25">
      <c r="E4" t="s">
        <v>689</v>
      </c>
      <c r="G4" t="s">
        <v>690</v>
      </c>
      <c r="I4" t="s">
        <v>691</v>
      </c>
      <c r="K4" t="s">
        <v>692</v>
      </c>
      <c r="M4" t="s">
        <v>693</v>
      </c>
    </row>
    <row r="8" spans="2:13" x14ac:dyDescent="0.25">
      <c r="E8" t="s">
        <v>694</v>
      </c>
    </row>
    <row r="16" spans="2:13" x14ac:dyDescent="0.25">
      <c r="C16" t="s">
        <v>695</v>
      </c>
      <c r="E16">
        <v>0</v>
      </c>
      <c r="G16" t="s">
        <v>695</v>
      </c>
      <c r="M16">
        <v>0</v>
      </c>
    </row>
    <row r="19" spans="3:13" x14ac:dyDescent="0.25">
      <c r="E19" t="s">
        <v>696</v>
      </c>
    </row>
    <row r="27" spans="3:13" x14ac:dyDescent="0.25">
      <c r="C27" t="s">
        <v>695</v>
      </c>
      <c r="E27">
        <v>0</v>
      </c>
      <c r="G27" t="s">
        <v>695</v>
      </c>
      <c r="M27">
        <v>0</v>
      </c>
    </row>
    <row r="30" spans="3:13" x14ac:dyDescent="0.25">
      <c r="E30" t="s">
        <v>697</v>
      </c>
    </row>
    <row r="32" spans="3:13" x14ac:dyDescent="0.25">
      <c r="C32">
        <v>1</v>
      </c>
    </row>
    <row r="34" spans="2:13" x14ac:dyDescent="0.25">
      <c r="C34" t="s">
        <v>237</v>
      </c>
    </row>
    <row r="36" spans="2:13" x14ac:dyDescent="0.25">
      <c r="C36" t="s">
        <v>273</v>
      </c>
      <c r="E36">
        <v>3431.5</v>
      </c>
      <c r="G36">
        <v>0.1</v>
      </c>
      <c r="M36">
        <v>3088.35</v>
      </c>
    </row>
    <row r="39" spans="2:13" x14ac:dyDescent="0.25">
      <c r="B39" t="s">
        <v>698</v>
      </c>
    </row>
    <row r="41" spans="2:13" x14ac:dyDescent="0.25">
      <c r="E41" t="s">
        <v>699</v>
      </c>
    </row>
    <row r="43" spans="2:13" x14ac:dyDescent="0.25">
      <c r="C43">
        <v>1</v>
      </c>
    </row>
    <row r="45" spans="2:13" x14ac:dyDescent="0.25">
      <c r="C45" t="s">
        <v>700</v>
      </c>
      <c r="E45">
        <v>3735</v>
      </c>
      <c r="G45">
        <v>0.1</v>
      </c>
      <c r="M45">
        <v>3361.5</v>
      </c>
    </row>
    <row r="48" spans="2:13" x14ac:dyDescent="0.25">
      <c r="E48" t="s">
        <v>701</v>
      </c>
    </row>
    <row r="50" spans="3:13" x14ac:dyDescent="0.25">
      <c r="C50">
        <v>1</v>
      </c>
    </row>
    <row r="52" spans="3:13" x14ac:dyDescent="0.25">
      <c r="C52" t="s">
        <v>702</v>
      </c>
      <c r="E52">
        <v>2766</v>
      </c>
      <c r="G52">
        <v>0.1</v>
      </c>
      <c r="M52">
        <v>2489.4</v>
      </c>
    </row>
    <row r="55" spans="3:13" x14ac:dyDescent="0.25">
      <c r="E55" t="s">
        <v>703</v>
      </c>
    </row>
    <row r="57" spans="3:13" x14ac:dyDescent="0.25">
      <c r="C57">
        <v>1</v>
      </c>
    </row>
    <row r="59" spans="3:13" x14ac:dyDescent="0.25">
      <c r="C59" t="s">
        <v>704</v>
      </c>
      <c r="E59">
        <v>515.52</v>
      </c>
      <c r="G59">
        <v>0.1</v>
      </c>
      <c r="M59">
        <v>463.96800000000002</v>
      </c>
    </row>
    <row r="62" spans="3:13" x14ac:dyDescent="0.25">
      <c r="E62" t="s">
        <v>705</v>
      </c>
    </row>
    <row r="64" spans="3:13" x14ac:dyDescent="0.25">
      <c r="C64">
        <v>1</v>
      </c>
    </row>
    <row r="66" spans="3:13" x14ac:dyDescent="0.25">
      <c r="C66" t="s">
        <v>706</v>
      </c>
      <c r="E66">
        <v>339.96</v>
      </c>
      <c r="G66">
        <v>0.1</v>
      </c>
      <c r="M66">
        <v>305.964</v>
      </c>
    </row>
    <row r="69" spans="3:13" x14ac:dyDescent="0.25">
      <c r="E69" t="s">
        <v>707</v>
      </c>
    </row>
    <row r="71" spans="3:13" x14ac:dyDescent="0.25">
      <c r="C71">
        <v>1</v>
      </c>
    </row>
    <row r="73" spans="3:13" x14ac:dyDescent="0.25">
      <c r="C73" t="s">
        <v>708</v>
      </c>
      <c r="E73">
        <v>1121.04</v>
      </c>
      <c r="G73">
        <v>0.1</v>
      </c>
      <c r="M73">
        <v>1008.936</v>
      </c>
    </row>
    <row r="76" spans="3:13" x14ac:dyDescent="0.25">
      <c r="E76" t="s">
        <v>709</v>
      </c>
    </row>
    <row r="78" spans="3:13" x14ac:dyDescent="0.25">
      <c r="C78">
        <v>1</v>
      </c>
    </row>
    <row r="80" spans="3:13" x14ac:dyDescent="0.25">
      <c r="C80" t="s">
        <v>710</v>
      </c>
      <c r="E80">
        <v>1494.48</v>
      </c>
      <c r="G80">
        <v>0.1</v>
      </c>
      <c r="M80">
        <v>1345.0320000000002</v>
      </c>
    </row>
    <row r="83" spans="3:13" x14ac:dyDescent="0.25">
      <c r="E83" t="s">
        <v>711</v>
      </c>
    </row>
    <row r="85" spans="3:13" x14ac:dyDescent="0.25">
      <c r="C85">
        <v>1</v>
      </c>
    </row>
    <row r="87" spans="3:13" x14ac:dyDescent="0.25">
      <c r="C87" t="s">
        <v>712</v>
      </c>
      <c r="E87">
        <v>747.48</v>
      </c>
      <c r="G87">
        <v>0.1</v>
      </c>
      <c r="M87">
        <v>672.73200000000008</v>
      </c>
    </row>
    <row r="90" spans="3:13" x14ac:dyDescent="0.25">
      <c r="E90" t="s">
        <v>713</v>
      </c>
    </row>
    <row r="92" spans="3:13" x14ac:dyDescent="0.25">
      <c r="C92">
        <v>1</v>
      </c>
    </row>
    <row r="94" spans="3:13" x14ac:dyDescent="0.25">
      <c r="C94" t="s">
        <v>714</v>
      </c>
      <c r="E94">
        <v>747.48</v>
      </c>
      <c r="G94">
        <v>0.1</v>
      </c>
      <c r="M94">
        <v>672.73200000000008</v>
      </c>
    </row>
    <row r="97" spans="3:13" x14ac:dyDescent="0.25">
      <c r="E97" t="s">
        <v>715</v>
      </c>
    </row>
    <row r="99" spans="3:13" x14ac:dyDescent="0.25">
      <c r="C99">
        <v>1</v>
      </c>
    </row>
    <row r="101" spans="3:13" x14ac:dyDescent="0.25">
      <c r="C101" t="s">
        <v>716</v>
      </c>
      <c r="E101">
        <v>560.52</v>
      </c>
      <c r="G101">
        <v>0.1</v>
      </c>
      <c r="M101">
        <v>504.46800000000002</v>
      </c>
    </row>
    <row r="104" spans="3:13" x14ac:dyDescent="0.25">
      <c r="E104" t="s">
        <v>717</v>
      </c>
    </row>
    <row r="106" spans="3:13" x14ac:dyDescent="0.25">
      <c r="C106">
        <v>1</v>
      </c>
    </row>
    <row r="108" spans="3:13" x14ac:dyDescent="0.25">
      <c r="C108" t="s">
        <v>718</v>
      </c>
      <c r="E108">
        <v>560.52</v>
      </c>
      <c r="G108">
        <v>0.1</v>
      </c>
      <c r="M108">
        <v>504.46800000000002</v>
      </c>
    </row>
    <row r="112" spans="3:13" x14ac:dyDescent="0.25">
      <c r="C112" t="s">
        <v>719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M126"/>
  <sheetViews>
    <sheetView zoomScaleNormal="100" workbookViewId="0">
      <selection activeCell="B2" sqref="B2"/>
    </sheetView>
  </sheetViews>
  <sheetFormatPr defaultRowHeight="15" x14ac:dyDescent="0.25"/>
  <cols>
    <col min="3" max="3" width="18.7109375" customWidth="1"/>
  </cols>
  <sheetData>
    <row r="2" spans="2:13" x14ac:dyDescent="0.25">
      <c r="B2" s="12"/>
      <c r="C2" t="s">
        <v>33</v>
      </c>
    </row>
    <row r="4" spans="2:13" x14ac:dyDescent="0.25">
      <c r="E4" t="s">
        <v>689</v>
      </c>
      <c r="G4" t="s">
        <v>690</v>
      </c>
      <c r="I4" t="s">
        <v>691</v>
      </c>
      <c r="K4" t="s">
        <v>692</v>
      </c>
      <c r="M4" t="s">
        <v>693</v>
      </c>
    </row>
    <row r="8" spans="2:13" x14ac:dyDescent="0.25">
      <c r="E8" t="s">
        <v>694</v>
      </c>
    </row>
    <row r="16" spans="2:13" x14ac:dyDescent="0.25">
      <c r="C16" t="s">
        <v>695</v>
      </c>
      <c r="E16">
        <v>0</v>
      </c>
      <c r="G16" t="s">
        <v>695</v>
      </c>
      <c r="M16">
        <v>0</v>
      </c>
    </row>
    <row r="19" spans="3:13" x14ac:dyDescent="0.25">
      <c r="E19" t="s">
        <v>696</v>
      </c>
    </row>
    <row r="27" spans="3:13" x14ac:dyDescent="0.25">
      <c r="C27" t="s">
        <v>695</v>
      </c>
      <c r="E27">
        <v>0</v>
      </c>
      <c r="G27" t="s">
        <v>695</v>
      </c>
      <c r="M27">
        <v>0</v>
      </c>
    </row>
    <row r="30" spans="3:13" x14ac:dyDescent="0.25">
      <c r="E30" t="s">
        <v>697</v>
      </c>
    </row>
    <row r="32" spans="3:13" x14ac:dyDescent="0.25">
      <c r="C32">
        <v>1</v>
      </c>
    </row>
    <row r="34" spans="2:13" x14ac:dyDescent="0.25">
      <c r="C34" t="s">
        <v>237</v>
      </c>
    </row>
    <row r="36" spans="2:13" x14ac:dyDescent="0.25">
      <c r="C36" t="s">
        <v>368</v>
      </c>
      <c r="E36">
        <v>9843.5</v>
      </c>
      <c r="G36">
        <v>0.1</v>
      </c>
      <c r="M36">
        <v>8859.15</v>
      </c>
    </row>
    <row r="39" spans="2:13" x14ac:dyDescent="0.25">
      <c r="B39" s="83" t="s">
        <v>698</v>
      </c>
    </row>
    <row r="41" spans="2:13" x14ac:dyDescent="0.25">
      <c r="E41" t="s">
        <v>699</v>
      </c>
    </row>
    <row r="43" spans="2:13" x14ac:dyDescent="0.25">
      <c r="C43">
        <v>1</v>
      </c>
    </row>
    <row r="45" spans="2:13" x14ac:dyDescent="0.25">
      <c r="C45" t="s">
        <v>720</v>
      </c>
      <c r="E45">
        <v>10103.040000000001</v>
      </c>
      <c r="G45">
        <v>0.1</v>
      </c>
      <c r="M45">
        <v>9092.7360000000008</v>
      </c>
    </row>
    <row r="48" spans="2:13" x14ac:dyDescent="0.25">
      <c r="E48" t="s">
        <v>701</v>
      </c>
    </row>
    <row r="50" spans="3:13" x14ac:dyDescent="0.25">
      <c r="C50">
        <v>1</v>
      </c>
    </row>
    <row r="52" spans="3:13" x14ac:dyDescent="0.25">
      <c r="C52" t="s">
        <v>721</v>
      </c>
      <c r="E52">
        <v>7484.04</v>
      </c>
      <c r="G52">
        <v>0.1</v>
      </c>
      <c r="M52">
        <v>6735.6360000000004</v>
      </c>
    </row>
    <row r="55" spans="3:13" x14ac:dyDescent="0.25">
      <c r="E55" t="s">
        <v>703</v>
      </c>
    </row>
    <row r="57" spans="3:13" x14ac:dyDescent="0.25">
      <c r="C57">
        <v>1</v>
      </c>
    </row>
    <row r="59" spans="3:13" x14ac:dyDescent="0.25">
      <c r="C59" t="s">
        <v>722</v>
      </c>
      <c r="E59">
        <v>1477.56</v>
      </c>
      <c r="G59">
        <v>0.1</v>
      </c>
      <c r="M59">
        <v>1329.8040000000001</v>
      </c>
    </row>
    <row r="62" spans="3:13" x14ac:dyDescent="0.25">
      <c r="E62" t="s">
        <v>705</v>
      </c>
    </row>
    <row r="64" spans="3:13" x14ac:dyDescent="0.25">
      <c r="C64">
        <v>1</v>
      </c>
    </row>
    <row r="66" spans="3:13" x14ac:dyDescent="0.25">
      <c r="C66" t="s">
        <v>723</v>
      </c>
      <c r="E66">
        <v>975</v>
      </c>
      <c r="G66">
        <v>0.1</v>
      </c>
      <c r="M66">
        <v>877.5</v>
      </c>
    </row>
    <row r="69" spans="3:13" x14ac:dyDescent="0.25">
      <c r="E69" t="s">
        <v>707</v>
      </c>
    </row>
    <row r="71" spans="3:13" x14ac:dyDescent="0.25">
      <c r="C71">
        <v>1</v>
      </c>
    </row>
    <row r="73" spans="3:13" x14ac:dyDescent="0.25">
      <c r="C73" t="s">
        <v>724</v>
      </c>
      <c r="E73">
        <v>3031.56</v>
      </c>
      <c r="G73">
        <v>0.1</v>
      </c>
      <c r="M73">
        <v>2728.404</v>
      </c>
    </row>
    <row r="76" spans="3:13" x14ac:dyDescent="0.25">
      <c r="E76" t="s">
        <v>709</v>
      </c>
    </row>
    <row r="78" spans="3:13" x14ac:dyDescent="0.25">
      <c r="C78">
        <v>1</v>
      </c>
    </row>
    <row r="80" spans="3:13" x14ac:dyDescent="0.25">
      <c r="C80" t="s">
        <v>725</v>
      </c>
      <c r="E80">
        <v>4041.48</v>
      </c>
      <c r="G80">
        <v>0.1</v>
      </c>
      <c r="M80">
        <v>3637.3319999999999</v>
      </c>
    </row>
    <row r="83" spans="3:13" x14ac:dyDescent="0.25">
      <c r="E83" t="s">
        <v>711</v>
      </c>
    </row>
    <row r="85" spans="3:13" x14ac:dyDescent="0.25">
      <c r="C85">
        <v>1</v>
      </c>
    </row>
    <row r="87" spans="3:13" x14ac:dyDescent="0.25">
      <c r="C87" t="s">
        <v>726</v>
      </c>
      <c r="E87">
        <v>2021.52</v>
      </c>
      <c r="G87">
        <v>0.1</v>
      </c>
      <c r="M87">
        <v>1819.3679999999999</v>
      </c>
    </row>
    <row r="90" spans="3:13" x14ac:dyDescent="0.25">
      <c r="E90" t="s">
        <v>713</v>
      </c>
    </row>
    <row r="92" spans="3:13" x14ac:dyDescent="0.25">
      <c r="C92">
        <v>1</v>
      </c>
    </row>
    <row r="94" spans="3:13" x14ac:dyDescent="0.25">
      <c r="C94" t="s">
        <v>727</v>
      </c>
      <c r="E94">
        <v>2021.52</v>
      </c>
      <c r="G94">
        <v>0.1</v>
      </c>
      <c r="M94">
        <v>1819.3679999999999</v>
      </c>
    </row>
    <row r="97" spans="3:13" x14ac:dyDescent="0.25">
      <c r="E97" t="s">
        <v>715</v>
      </c>
    </row>
    <row r="99" spans="3:13" x14ac:dyDescent="0.25">
      <c r="C99">
        <v>1</v>
      </c>
    </row>
    <row r="101" spans="3:13" x14ac:dyDescent="0.25">
      <c r="C101" t="s">
        <v>728</v>
      </c>
      <c r="E101">
        <v>1515.48</v>
      </c>
      <c r="G101">
        <v>0.1</v>
      </c>
      <c r="M101">
        <v>1363.932</v>
      </c>
    </row>
    <row r="104" spans="3:13" x14ac:dyDescent="0.25">
      <c r="E104" t="s">
        <v>717</v>
      </c>
    </row>
    <row r="106" spans="3:13" x14ac:dyDescent="0.25">
      <c r="C106">
        <v>1</v>
      </c>
    </row>
    <row r="108" spans="3:13" x14ac:dyDescent="0.25">
      <c r="C108" t="s">
        <v>729</v>
      </c>
      <c r="E108">
        <v>1515.48</v>
      </c>
      <c r="G108">
        <v>0.1</v>
      </c>
      <c r="M108">
        <v>1363.932</v>
      </c>
    </row>
    <row r="112" spans="3:13" x14ac:dyDescent="0.25">
      <c r="C112" t="s">
        <v>730</v>
      </c>
    </row>
    <row r="117" spans="2:2" x14ac:dyDescent="0.25">
      <c r="B117" t="s">
        <v>731</v>
      </c>
    </row>
    <row r="118" spans="2:2" x14ac:dyDescent="0.25">
      <c r="B118" t="s">
        <v>732</v>
      </c>
    </row>
    <row r="119" spans="2:2" x14ac:dyDescent="0.25">
      <c r="B119" t="s">
        <v>733</v>
      </c>
    </row>
    <row r="120" spans="2:2" x14ac:dyDescent="0.25">
      <c r="B120" t="s">
        <v>734</v>
      </c>
    </row>
    <row r="121" spans="2:2" x14ac:dyDescent="0.25">
      <c r="B121" t="s">
        <v>735</v>
      </c>
    </row>
    <row r="122" spans="2:2" x14ac:dyDescent="0.25">
      <c r="B122" t="s">
        <v>736</v>
      </c>
    </row>
    <row r="124" spans="2:2" x14ac:dyDescent="0.25">
      <c r="B124" t="s">
        <v>737</v>
      </c>
    </row>
    <row r="126" spans="2:2" x14ac:dyDescent="0.25">
      <c r="B126" t="s">
        <v>738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112"/>
  <sheetViews>
    <sheetView zoomScaleNormal="100" workbookViewId="0">
      <selection activeCell="C11" sqref="C11"/>
    </sheetView>
  </sheetViews>
  <sheetFormatPr defaultRowHeight="15" x14ac:dyDescent="0.25"/>
  <sheetData>
    <row r="2" spans="2:13" x14ac:dyDescent="0.25">
      <c r="B2" s="12"/>
      <c r="C2" t="s">
        <v>34</v>
      </c>
    </row>
    <row r="4" spans="2:13" x14ac:dyDescent="0.25">
      <c r="E4" t="s">
        <v>689</v>
      </c>
      <c r="G4" t="s">
        <v>690</v>
      </c>
      <c r="I4" t="s">
        <v>691</v>
      </c>
      <c r="K4" t="s">
        <v>692</v>
      </c>
      <c r="M4" t="s">
        <v>693</v>
      </c>
    </row>
    <row r="8" spans="2:13" x14ac:dyDescent="0.25">
      <c r="E8" t="s">
        <v>694</v>
      </c>
    </row>
    <row r="16" spans="2:13" x14ac:dyDescent="0.25">
      <c r="C16" t="s">
        <v>695</v>
      </c>
      <c r="E16">
        <v>0</v>
      </c>
      <c r="G16" t="s">
        <v>695</v>
      </c>
      <c r="M16">
        <v>0</v>
      </c>
    </row>
    <row r="19" spans="3:13" x14ac:dyDescent="0.25">
      <c r="E19" t="s">
        <v>696</v>
      </c>
    </row>
    <row r="27" spans="3:13" x14ac:dyDescent="0.25">
      <c r="C27" t="s">
        <v>695</v>
      </c>
      <c r="E27">
        <v>0</v>
      </c>
      <c r="G27" t="s">
        <v>695</v>
      </c>
      <c r="M27">
        <v>0</v>
      </c>
    </row>
    <row r="30" spans="3:13" x14ac:dyDescent="0.25">
      <c r="E30" t="s">
        <v>697</v>
      </c>
    </row>
    <row r="32" spans="3:13" x14ac:dyDescent="0.25">
      <c r="C32">
        <v>1</v>
      </c>
    </row>
    <row r="34" spans="2:13" x14ac:dyDescent="0.25">
      <c r="C34" t="s">
        <v>237</v>
      </c>
    </row>
    <row r="36" spans="2:13" x14ac:dyDescent="0.25">
      <c r="C36" t="s">
        <v>393</v>
      </c>
      <c r="E36">
        <v>13215</v>
      </c>
      <c r="G36">
        <v>0.1</v>
      </c>
      <c r="M36">
        <v>11893.5</v>
      </c>
    </row>
    <row r="39" spans="2:13" x14ac:dyDescent="0.25">
      <c r="B39" t="s">
        <v>698</v>
      </c>
    </row>
    <row r="41" spans="2:13" x14ac:dyDescent="0.25">
      <c r="E41" t="s">
        <v>699</v>
      </c>
    </row>
    <row r="43" spans="2:13" x14ac:dyDescent="0.25">
      <c r="C43">
        <v>1</v>
      </c>
    </row>
    <row r="45" spans="2:13" x14ac:dyDescent="0.25">
      <c r="C45" t="s">
        <v>739</v>
      </c>
      <c r="E45">
        <v>14232.48</v>
      </c>
      <c r="G45">
        <v>0.1</v>
      </c>
      <c r="M45">
        <v>12809.232</v>
      </c>
    </row>
    <row r="48" spans="2:13" x14ac:dyDescent="0.25">
      <c r="E48" t="s">
        <v>701</v>
      </c>
    </row>
    <row r="50" spans="3:13" x14ac:dyDescent="0.25">
      <c r="C50">
        <v>1</v>
      </c>
    </row>
    <row r="52" spans="3:13" x14ac:dyDescent="0.25">
      <c r="C52" t="s">
        <v>740</v>
      </c>
      <c r="E52">
        <v>10542.96</v>
      </c>
      <c r="G52">
        <v>0.1</v>
      </c>
      <c r="M52">
        <v>9488.6639999999989</v>
      </c>
    </row>
    <row r="55" spans="3:13" x14ac:dyDescent="0.25">
      <c r="E55" t="s">
        <v>703</v>
      </c>
    </row>
    <row r="57" spans="3:13" x14ac:dyDescent="0.25">
      <c r="C57">
        <v>1</v>
      </c>
    </row>
    <row r="59" spans="3:13" x14ac:dyDescent="0.25">
      <c r="C59" t="s">
        <v>741</v>
      </c>
      <c r="E59">
        <v>1983</v>
      </c>
      <c r="G59">
        <v>0.1</v>
      </c>
      <c r="M59">
        <v>1784.7</v>
      </c>
    </row>
    <row r="62" spans="3:13" x14ac:dyDescent="0.25">
      <c r="E62" t="s">
        <v>705</v>
      </c>
    </row>
    <row r="64" spans="3:13" x14ac:dyDescent="0.25">
      <c r="C64">
        <v>1</v>
      </c>
    </row>
    <row r="66" spans="3:13" x14ac:dyDescent="0.25">
      <c r="C66" t="s">
        <v>742</v>
      </c>
      <c r="E66">
        <v>1308.96</v>
      </c>
      <c r="G66">
        <v>0.1</v>
      </c>
      <c r="M66">
        <v>1178.0640000000001</v>
      </c>
    </row>
    <row r="69" spans="3:13" x14ac:dyDescent="0.25">
      <c r="E69" t="s">
        <v>707</v>
      </c>
    </row>
    <row r="71" spans="3:13" x14ac:dyDescent="0.25">
      <c r="C71">
        <v>1</v>
      </c>
    </row>
    <row r="73" spans="3:13" x14ac:dyDescent="0.25">
      <c r="C73" t="s">
        <v>743</v>
      </c>
      <c r="E73">
        <v>4269.96</v>
      </c>
      <c r="G73">
        <v>0.1</v>
      </c>
      <c r="M73">
        <v>3842.9639999999999</v>
      </c>
    </row>
    <row r="76" spans="3:13" x14ac:dyDescent="0.25">
      <c r="E76" t="s">
        <v>709</v>
      </c>
    </row>
    <row r="78" spans="3:13" x14ac:dyDescent="0.25">
      <c r="C78">
        <v>1</v>
      </c>
    </row>
    <row r="80" spans="3:13" x14ac:dyDescent="0.25">
      <c r="C80" t="s">
        <v>744</v>
      </c>
      <c r="E80">
        <v>5693.52</v>
      </c>
      <c r="G80">
        <v>0.1</v>
      </c>
      <c r="M80">
        <v>5124.1680000000006</v>
      </c>
    </row>
    <row r="83" spans="3:13" x14ac:dyDescent="0.25">
      <c r="E83" t="s">
        <v>711</v>
      </c>
    </row>
    <row r="85" spans="3:13" x14ac:dyDescent="0.25">
      <c r="C85">
        <v>1</v>
      </c>
    </row>
    <row r="87" spans="3:13" x14ac:dyDescent="0.25">
      <c r="C87" t="s">
        <v>745</v>
      </c>
      <c r="E87">
        <v>2847</v>
      </c>
      <c r="G87">
        <v>0.1</v>
      </c>
      <c r="M87">
        <v>2562.3000000000002</v>
      </c>
    </row>
    <row r="90" spans="3:13" x14ac:dyDescent="0.25">
      <c r="E90" t="s">
        <v>713</v>
      </c>
    </row>
    <row r="92" spans="3:13" x14ac:dyDescent="0.25">
      <c r="C92">
        <v>1</v>
      </c>
    </row>
    <row r="94" spans="3:13" x14ac:dyDescent="0.25">
      <c r="C94" t="s">
        <v>746</v>
      </c>
      <c r="E94">
        <v>2847</v>
      </c>
      <c r="G94">
        <v>0.1</v>
      </c>
      <c r="M94">
        <v>2562.3000000000002</v>
      </c>
    </row>
    <row r="97" spans="3:13" x14ac:dyDescent="0.25">
      <c r="E97" t="s">
        <v>715</v>
      </c>
    </row>
    <row r="99" spans="3:13" x14ac:dyDescent="0.25">
      <c r="C99">
        <v>1</v>
      </c>
    </row>
    <row r="101" spans="3:13" x14ac:dyDescent="0.25">
      <c r="C101" t="s">
        <v>747</v>
      </c>
      <c r="E101">
        <v>2135.52</v>
      </c>
      <c r="G101">
        <v>0.1</v>
      </c>
      <c r="M101">
        <v>1921.9680000000001</v>
      </c>
    </row>
    <row r="104" spans="3:13" x14ac:dyDescent="0.25">
      <c r="E104" t="s">
        <v>717</v>
      </c>
    </row>
    <row r="106" spans="3:13" x14ac:dyDescent="0.25">
      <c r="C106">
        <v>1</v>
      </c>
    </row>
    <row r="108" spans="3:13" x14ac:dyDescent="0.25">
      <c r="C108" t="s">
        <v>748</v>
      </c>
      <c r="E108">
        <v>2135.52</v>
      </c>
      <c r="G108">
        <v>0.1</v>
      </c>
      <c r="M108">
        <v>1921.9680000000001</v>
      </c>
    </row>
    <row r="112" spans="3:13" x14ac:dyDescent="0.25">
      <c r="C112" t="s">
        <v>749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E32"/>
  <sheetViews>
    <sheetView zoomScaleNormal="100" workbookViewId="0">
      <selection activeCell="A30" sqref="A30"/>
    </sheetView>
  </sheetViews>
  <sheetFormatPr defaultRowHeight="15" x14ac:dyDescent="0.25"/>
  <cols>
    <col min="2" max="2" width="55.5703125" customWidth="1"/>
    <col min="4" max="4" width="23.7109375" customWidth="1"/>
  </cols>
  <sheetData>
    <row r="2" spans="2:2" x14ac:dyDescent="0.25">
      <c r="B2" t="s">
        <v>511</v>
      </c>
    </row>
    <row r="4" spans="2:2" x14ac:dyDescent="0.25">
      <c r="B4" t="s">
        <v>512</v>
      </c>
    </row>
    <row r="6" spans="2:2" x14ac:dyDescent="0.25">
      <c r="B6" t="s">
        <v>513</v>
      </c>
    </row>
    <row r="8" spans="2:2" x14ac:dyDescent="0.25">
      <c r="B8" t="s">
        <v>514</v>
      </c>
    </row>
    <row r="10" spans="2:2" x14ac:dyDescent="0.25">
      <c r="B10">
        <v>2</v>
      </c>
    </row>
    <row r="14" spans="2:2" x14ac:dyDescent="0.25">
      <c r="B14" t="s">
        <v>511</v>
      </c>
    </row>
    <row r="16" spans="2:2" x14ac:dyDescent="0.25">
      <c r="B16" s="22">
        <v>2367</v>
      </c>
    </row>
    <row r="22" spans="2:5" x14ac:dyDescent="0.25">
      <c r="B22">
        <v>0.1</v>
      </c>
    </row>
    <row r="24" spans="2:5" x14ac:dyDescent="0.25">
      <c r="B24">
        <v>2130.3000000000002</v>
      </c>
    </row>
    <row r="25" spans="2:5" ht="15.75" customHeight="1" x14ac:dyDescent="0.25"/>
    <row r="26" spans="2:5" ht="15.75" customHeight="1" x14ac:dyDescent="0.25">
      <c r="B26" s="105" t="s">
        <v>515</v>
      </c>
      <c r="C26" s="106"/>
      <c r="D26" s="107"/>
    </row>
    <row r="27" spans="2:5" ht="18.399999999999999" customHeight="1" x14ac:dyDescent="0.25">
      <c r="B27" s="69" t="s">
        <v>516</v>
      </c>
      <c r="C27" s="70" t="s">
        <v>517</v>
      </c>
      <c r="D27" s="70" t="s">
        <v>750</v>
      </c>
    </row>
    <row r="28" spans="2:5" ht="15.75" customHeight="1" x14ac:dyDescent="0.25">
      <c r="B28" s="71" t="s">
        <v>751</v>
      </c>
      <c r="C28" s="84">
        <v>1</v>
      </c>
      <c r="D28" s="85">
        <v>3431.5</v>
      </c>
    </row>
    <row r="29" spans="2:5" ht="15.75" customHeight="1" x14ac:dyDescent="0.25">
      <c r="B29" s="71" t="s">
        <v>752</v>
      </c>
      <c r="C29" s="72">
        <v>1</v>
      </c>
      <c r="D29" s="85">
        <v>6197</v>
      </c>
    </row>
    <row r="30" spans="2:5" ht="15.75" customHeight="1" x14ac:dyDescent="0.25">
      <c r="B30" s="71" t="s">
        <v>519</v>
      </c>
      <c r="C30" s="72">
        <v>1</v>
      </c>
      <c r="D30" s="73">
        <v>1183.5</v>
      </c>
    </row>
    <row r="31" spans="2:5" ht="15.75" customHeight="1" x14ac:dyDescent="0.25">
      <c r="B31" s="71" t="s">
        <v>520</v>
      </c>
      <c r="C31" s="72">
        <v>4</v>
      </c>
      <c r="D31" s="73">
        <v>2962</v>
      </c>
      <c r="E31">
        <f>D31/C31</f>
        <v>740.5</v>
      </c>
    </row>
    <row r="32" spans="2:5" ht="15.75" customHeight="1" x14ac:dyDescent="0.25">
      <c r="B32" s="86" t="s">
        <v>753</v>
      </c>
      <c r="C32" s="87"/>
      <c r="D32" s="88">
        <f>SUM(D28:D31)</f>
        <v>13774</v>
      </c>
    </row>
  </sheetData>
  <mergeCells count="1">
    <mergeCell ref="B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LP Sophos</vt:lpstr>
      <vt:lpstr>XGS - Desktop +10%</vt:lpstr>
      <vt:lpstr>XGS - 1U + 10%</vt:lpstr>
      <vt:lpstr>XGS - 2U + 10%</vt:lpstr>
      <vt:lpstr>Rotto O2</vt:lpstr>
      <vt:lpstr>Rotto O1</vt:lpstr>
      <vt:lpstr>Rotto (2)</vt:lpstr>
      <vt:lpstr>Module 10G (2)</vt:lpstr>
      <vt:lpstr>Virtual FW</vt:lpstr>
      <vt:lpstr>ZTNA - NDR - Central Reporting</vt:lpstr>
      <vt:lpstr>XGS 2300</vt:lpstr>
      <vt:lpstr>XGS 4300</vt:lpstr>
      <vt:lpstr>XGS 4500</vt:lpstr>
      <vt:lpstr>Module 10G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2025-02-19T05:48:51Z</cp:lastPrinted>
  <dcterms:created xsi:type="dcterms:W3CDTF">2025-02-19T04:47:46Z</dcterms:created>
  <dcterms:modified xsi:type="dcterms:W3CDTF">2026-10-20T02:29:16Z</dcterms:modified>
</cp:coreProperties>
</file>