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mware" state="visible" r:id="rId4"/>
  </sheets>
  <definedNames>
    <definedName name="_xlnm.Print_Area" localSheetId="0">'Vmware'!$A1:$K38</definedName>
  </definedNames>
  <calcPr calcId="171027"/>
</workbook>
</file>

<file path=xl/sharedStrings.xml><?xml version="1.0" encoding="utf-8"?>
<sst xmlns="http://schemas.openxmlformats.org/spreadsheetml/2006/main" count="40" uniqueCount="39">
  <si>
    <t xml:space="preserve">Kính gởi : CÔNG TY CỔ PHẦN CẤP NƯỚC CHÂU ĐỨC	</t>
  </si>
  <si>
    <t>Ngày : 23/10/2026</t>
  </si>
  <si>
    <t>Địa chỉ : Khu Công Nghiệp Đô Thị Châu Đức, Xã Ngãi Giao, TP Hồ Chí Minh, VN</t>
  </si>
  <si>
    <t>Người nhận :  Anh VINH</t>
  </si>
  <si>
    <t>BẢNG BÁO GIÁ</t>
  </si>
  <si>
    <t>Công ty Nam Trường Sơn trân trọng gởi đến Quý khách hàng bảng báo giá như sau:</t>
  </si>
  <si>
    <t>Stt</t>
  </si>
  <si>
    <t>Tên hàng</t>
  </si>
  <si>
    <t>Diễn giải</t>
  </si>
  <si>
    <t>S.L</t>
  </si>
  <si>
    <t>Đơn vị</t>
  </si>
  <si>
    <t xml:space="preserve">Đơn giá
(VNĐ)</t>
  </si>
  <si>
    <t xml:space="preserve">Thành tiền
(VNĐ)</t>
  </si>
  <si>
    <t xml:space="preserve">Thuế
VAT</t>
  </si>
  <si>
    <t>Thành tiền sau VAT</t>
  </si>
  <si>
    <t>Phần mềm vmware vsphere 8.0 enterprise plus for 2 CPU</t>
  </si>
  <si>
    <r>
      <rPr>
        <color rgb="FF0000CC"/>
        <family val="2"/>
        <sz val="10"/>
        <rFont val="Arial"/>
      </rPr>
      <t xml:space="preserve">Bản quyền phần mềmảo hóa vmware vsphere 8.0 enterprise plus license for 2
CPU</t>
    </r>
    <r>
      <rPr>
        <family val="2"/>
        <sz val="10"/>
        <rFont val="Arial"/>
      </rPr>
      <t xml:space="preserve">
* Bản quyền lic vĩnh viễn
* Hỗ trợ cho 1 Server và 2 CPU</t>
    </r>
  </si>
  <si>
    <t>Bản quyền</t>
  </si>
  <si>
    <t xml:space="preserve">Bản quyền phần mềm sao lưu dữ liệu-Acronis Cyber Protect Advanced Virtual Host Subscription License, 1 Year </t>
  </si>
  <si>
    <r>
      <rPr>
        <b/>
        <color rgb="FF0000CC"/>
        <family val="2"/>
        <sz val="10"/>
        <rFont val="Arial"/>
      </rPr>
      <t>Acronis Cyber Protect - Backup Advanced Virtual Host Subscription License, 1 Year</t>
    </r>
    <r>
      <rPr>
        <b/>
        <color rgb="FF7030A0"/>
        <family val="2"/>
        <sz val="10"/>
        <rFont val="Arial"/>
      </rPr>
      <t xml:space="preserve">
</t>
    </r>
    <r>
      <rPr>
        <family val="2"/>
        <sz val="10"/>
        <rFont val="Arial"/>
      </rPr>
      <t xml:space="preserve">. Sử dụng 1 license cho 1 Host vật lý
. Management Console OS: Windows Server 2025, 2022, 2019. Windows 11, 10. Linux with kernel and glibc or later.
. Agent OS: VMware ESX/ESX(i), Hyper-V, </t>
    </r>
    <r>
      <rPr>
        <b/>
        <family val="2"/>
        <sz val="10"/>
        <rFont val="Arial"/>
      </rPr>
      <t>Citrix XenServer, Red Hat Virtualization, Linux KVM, Oracle VM Server, Nutanix AHV.</t>
    </r>
    <r>
      <rPr>
        <family val="2"/>
        <sz val="10"/>
        <rFont val="Arial"/>
      </rPr>
      <t xml:space="preserve"> 
. Tính năng: Quản trị qua web-based, khả năng kiểm tra lỗ hổng bảo mật, triển khai/update nhiều agent từ xa cùng lúc, backup/restore Entire machine/Disk/File/Application, lưu file backup ra nhiều nơi (relication), mã hóa/nén file backup, hỗ trợ bootable media, Universal restore, chống mã hóa file (Active Protection), agentless backup, backup cấu hình ESXi, hỗ trợ VSS,</t>
    </r>
    <r>
      <rPr>
        <b/>
        <family val="2"/>
        <sz val="10"/>
        <rFont val="Arial"/>
      </rPr>
      <t xml:space="preserve"> hỗ trợ report, hỗ trợ Clustered Exchange/SQL, phân quyền quản trị, tích hợp với AD, quản trị 1 backup plan cho nhiều máy, instant restore, PXE server for network boot, storage deduplication, quản lý bootable media tập trung, tự động bare-metal recovery, lên lịch thẩm định backup, lên lịch backup nhân rộng và duy trì, Acronis Notary, Acronis ASign</t>
    </r>
    <r>
      <rPr>
        <family val="2"/>
        <sz val="10"/>
        <rFont val="Arial"/>
      </rPr>
      <t xml:space="preserve">.
. Storage: disks, NAS, SAN, Acronis Cloud Storage, Acronis Secure Zone, tape drives, autoloaders, libraries.
. Cập nhật và hỗ trợ kỹ thuật: trong thời gian hiệu lực</t>
    </r>
  </si>
  <si>
    <t>TỔNG CỘNG</t>
  </si>
  <si>
    <t>CÁC ĐIỀU KHOẢN THƯƠNG MẠI KHÁC:</t>
  </si>
  <si>
    <t>Thuế VAT: Giá trên đã bao gồm thuế GTGT;</t>
  </si>
  <si>
    <t>Bảng giá nêu trên không bao gồm phí cài đặt. Bảo hành: 01 năm</t>
  </si>
  <si>
    <t>Giao hàng: trong vòng 01-02 tuần kể từ ngày ký xác nhận đặt hàng.</t>
  </si>
  <si>
    <t>Phương thức thanh toán: Thanh toán bằng tiền mặt / chuyển khoản .</t>
  </si>
  <si>
    <t xml:space="preserve"> - Thanh toán 100% giá trị HĐ trong vòng 10 ngày sau khi giao hàng và hóa đơn tài chính.</t>
  </si>
  <si>
    <t>TÀI KHOẢN NGÂN HÀNG:</t>
  </si>
  <si>
    <t xml:space="preserve">Đơn vị thụ hưởng:  CÔNG TY CP TÍCH HỢP HỆ THỐNG NAM TRƯỜNG SƠN </t>
  </si>
  <si>
    <t>STK 1 (Bank A/C): 199458149 tại NH TMCP Á Châu - CN Phan Đăng Lưu - P. GD Lê Quang Định</t>
  </si>
  <si>
    <r>
      <t>Bảng giá có giá trị trong vòng</t>
    </r>
    <r>
      <rPr>
        <b/>
        <color indexed="8"/>
        <family val="2"/>
        <sz val="11"/>
        <rFont val="Arial"/>
      </rPr>
      <t xml:space="preserve"> 30 ngày</t>
    </r>
    <r>
      <rPr>
        <color indexed="8"/>
        <family val="2"/>
        <sz val="11"/>
        <rFont val="Arial"/>
      </rPr>
      <t xml:space="preserve"> kể từ ngày báo giá.</t>
    </r>
  </si>
  <si>
    <t xml:space="preserve">- Đơn đặt hàng chỉ được tiến hành sau khi Bên Mua Hàng đồng ý với các điều khoản nêu trên bằng cách </t>
  </si>
  <si>
    <t xml:space="preserve">  kí và đóng dấu vào Xác nhận đơn hàng này và gởi lại cho Bên Bán hàng</t>
  </si>
  <si>
    <t>Trân Trọng,</t>
  </si>
  <si>
    <t>Xác nhận đặt hàng</t>
  </si>
  <si>
    <t>Le Phi Son  -  090 813 7488</t>
  </si>
  <si>
    <t xml:space="preserve"> NTS System Integration Corp.</t>
  </si>
  <si>
    <t xml:space="preserve"> Add: 20 Tang Bat Ho Street, Ward 11, Binh Thanh District, Ho Chi Minh City, VN</t>
  </si>
  <si>
    <t xml:space="preserve"> T:  (028) 3841 8080 | F:  (028) 3841 5555 | E: info@ntssi.vn | W: www.ntssi.vn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</si>
</sst>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color theme="1"/>
      <family val="2"/>
      <scheme val="minor"/>
      <sz val="11"/>
      <name val="Calibri"/>
    </font>
    <font>
      <b/>
      <color theme="3" tint="-0.249977111117893"/>
      <family val="2"/>
      <sz val="10"/>
      <name val="Arial"/>
    </font>
    <font>
      <b/>
      <color theme="3"/>
      <family val="2"/>
      <sz val="9"/>
      <name val="Arial"/>
    </font>
    <font>
      <b/>
      <family val="2"/>
      <sz val="11"/>
      <name val="Arial"/>
    </font>
    <font>
      <i/>
      <color indexed="10"/>
      <family val="2"/>
      <sz val="11"/>
      <name val="Arial"/>
    </font>
    <font>
      <i/>
      <family val="2"/>
      <sz val="11"/>
      <name val="Arial"/>
    </font>
    <font>
      <color indexed="8"/>
      <family val="2"/>
      <sz val="11"/>
      <name val="Arial"/>
    </font>
    <font>
      <b/>
      <color indexed="8"/>
      <family val="2"/>
      <sz val="11"/>
      <name val="Arial"/>
    </font>
    <font>
      <i/>
      <color indexed="8"/>
      <family val="2"/>
      <sz val="11"/>
      <name val="Arial"/>
    </font>
    <font>
      <b/>
      <i/>
      <color indexed="8"/>
      <family val="2"/>
      <sz val="11"/>
      <name val="Arial"/>
    </font>
    <font>
      <i/>
      <color indexed="8"/>
      <family val="1"/>
      <sz val="11"/>
      <name val="Times New Roman"/>
    </font>
    <font>
      <family val="2"/>
      <sz val="11"/>
      <name val="Arial"/>
    </font>
    <font>
      <b/>
      <color rgb="FF0000FF"/>
      <family val="2"/>
      <sz val="20"/>
      <name val="Arial"/>
    </font>
    <font>
      <b/>
      <u/>
      <color rgb="FF0000FF"/>
      <family val="2"/>
      <sz val="10"/>
      <name val="Arial"/>
    </font>
    <font>
      <color indexed="8"/>
      <family val="2"/>
      <sz val="10"/>
      <name val="Arial"/>
    </font>
    <font>
      <b/>
      <color indexed="8"/>
      <family val="2"/>
      <sz val="10"/>
      <name val="Arial"/>
    </font>
    <font>
      <family val="2"/>
      <sz val="10"/>
      <name val="Arial"/>
    </font>
    <font>
      <b/>
      <sz val="11"/>
      <name val="Arial"/>
    </font>
    <font>
      <b/>
      <u/>
      <color indexed="8"/>
      <family val="2"/>
      <sz val="11"/>
      <name val="Arial"/>
    </font>
    <font>
      <b/>
      <u/>
      <color indexed="8"/>
      <family val="2"/>
      <sz val="10"/>
      <name val="Arial"/>
    </font>
    <font>
      <b/>
      <color theme="1"/>
      <family val="2"/>
      <sz val="11"/>
      <name val="Arial"/>
    </font>
    <font>
      <color indexed="8"/>
      <family val="1"/>
      <sz val="10"/>
      <name val="Times New Roman"/>
    </font>
    <font>
      <family val="1"/>
      <sz val="11"/>
      <name val="Times New Roman"/>
    </font>
    <font>
      <b/>
      <i/>
      <family val="2"/>
      <sz val="10"/>
      <name val="Arial"/>
    </font>
    <font>
      <b/>
      <color rgb="FF0000CC"/>
      <family val="2"/>
      <sz val="10"/>
      <name val="Arial"/>
    </font>
    <font>
      <b/>
      <u/>
      <family val="2"/>
      <sz val="11"/>
      <name val="Arial"/>
    </font>
    <font>
      <b/>
      <color rgb="FF002060"/>
      <sz val="9"/>
      <name val="Arial"/>
    </font>
    <font>
      <family val="2"/>
      <sz val="11"/>
      <name val="Calibri"/>
    </font>
    <font>
      <color rgb="FF002060"/>
      <sz val="9"/>
      <name val="Arial"/>
    </font>
    <font>
      <color rgb="FF0070C0"/>
      <family val="2"/>
      <sz val="9"/>
      <name val="Arial"/>
    </font>
    <font>
      <u/>
      <charset val="163"/>
      <color theme="1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top"/>
    </xf>
    <xf numFmtId="0" fontId="14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6" fillId="3" borderId="2" xfId="0" applyFont="1" applyFill="1" applyBorder="1" applyAlignment="1">
      <alignment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17" fillId="3" borderId="2" xfId="0" applyNumberFormat="1" applyFont="1" applyFill="1" applyBorder="1" applyAlignment="1">
      <alignment horizontal="right" vertical="center" wrapText="1"/>
    </xf>
    <xf numFmtId="3" fontId="17" fillId="4" borderId="2" xfId="0" applyNumberFormat="1" applyFont="1" applyFill="1" applyBorder="1" applyAlignment="1">
      <alignment horizontal="right" vertical="center" wrapText="1"/>
    </xf>
    <xf numFmtId="0" fontId="18" fillId="0" borderId="0" xfId="0" applyFont="1"/>
    <xf numFmtId="0" fontId="19" fillId="0" borderId="0" xfId="0" applyFont="1"/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top"/>
    </xf>
    <xf numFmtId="0" fontId="6" fillId="0" borderId="0" xfId="0" applyFont="1"/>
    <xf numFmtId="0" fontId="20" fillId="0" borderId="0" xfId="0" applyFont="1"/>
    <xf numFmtId="0" fontId="7" fillId="0" borderId="0" xfId="0" applyFont="1" applyAlignment="1">
      <alignment horizontal="left" vertical="center" wrapText="1"/>
    </xf>
    <xf numFmtId="0" fontId="7" fillId="5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24" fillId="0" borderId="0" xfId="0" applyFont="1"/>
    <xf numFmtId="0" fontId="25" fillId="0" borderId="0" xfId="0" applyFont="1" applyAlignment="1">
      <alignment horizontal="center" vertical="center"/>
    </xf>
    <xf numFmtId="0" fontId="21" fillId="0" borderId="0" xfId="0" applyFont="1" applyAlignment="1">
      <alignment vertical="top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23275</xdr:rowOff>
    </xdr:from>
    <xdr:to>
      <xdr:col>9</xdr:col>
      <xdr:colOff>0</xdr:colOff>
      <xdr:row>35</xdr:row>
      <xdr:rowOff>59999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ntssi.v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workbookViewId="0"/>
  </sheetViews>
  <sheetFormatPr defaultRowHeight="15" outlineLevelRow="0" outlineLevelCol="0" x14ac:dyDescent="55"/>
  <cols>
    <col min="1" max="1" width="5.5" customWidth="1"/>
    <col min="2" max="2" width="22.5" customWidth="1"/>
    <col min="3" max="3" width="46.5" customWidth="1"/>
    <col min="4" max="4" width="5.5" customWidth="1"/>
    <col min="5" max="5" width="7.5" customWidth="1"/>
    <col min="6" max="6" width="15" customWidth="1"/>
    <col min="7" max="7" width="15.5" customWidth="1"/>
    <col min="8" max="8" width="11" customWidth="1"/>
    <col min="9" max="9" width="15.5" customWidth="1"/>
  </cols>
  <sheetData>
    <row r="1" ht="97.7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3" customHeight="1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ht="15" customHeight="1" spans="1:9" x14ac:dyDescent="0.25">
      <c r="A3" s="3" t="s">
        <v>0</v>
      </c>
      <c r="B3" s="3"/>
      <c r="C3" s="4"/>
      <c r="D3" s="5"/>
      <c r="E3" s="5"/>
      <c r="F3" s="5"/>
      <c r="G3" s="5"/>
      <c r="H3" s="6" t="s">
        <v>1</v>
      </c>
      <c r="I3" s="6"/>
    </row>
    <row r="4" ht="15" customHeight="1" spans="1:9" x14ac:dyDescent="0.25">
      <c r="A4" s="7" t="s">
        <v>2</v>
      </c>
      <c r="B4" s="8"/>
      <c r="C4" s="9"/>
      <c r="D4" s="9"/>
      <c r="E4" s="9"/>
      <c r="F4" s="9"/>
      <c r="G4" s="9"/>
      <c r="H4" s="10"/>
      <c r="I4" s="11"/>
    </row>
    <row r="5" ht="20.65" customHeight="1" spans="1:9" x14ac:dyDescent="0.25">
      <c r="A5" s="12" t="s">
        <v>3</v>
      </c>
      <c r="B5" s="5"/>
      <c r="C5" s="4"/>
      <c r="D5" s="5"/>
      <c r="E5" s="5"/>
      <c r="F5" s="13"/>
      <c r="G5" s="5"/>
      <c r="H5" s="5"/>
      <c r="I5" s="5"/>
    </row>
    <row r="6" ht="26.25" customHeight="1" spans="1:9" x14ac:dyDescent="0.25">
      <c r="A6" s="14" t="s">
        <v>4</v>
      </c>
      <c r="B6" s="14"/>
      <c r="C6" s="14"/>
      <c r="D6" s="14"/>
      <c r="E6" s="14"/>
      <c r="F6" s="14"/>
      <c r="G6" s="14"/>
      <c r="H6" s="14"/>
      <c r="I6" s="14"/>
    </row>
    <row r="7" ht="1.5" customHeight="1" spans="1:9" x14ac:dyDescent="0.25">
      <c r="A7" s="15"/>
      <c r="B7" s="15"/>
      <c r="C7" s="15"/>
      <c r="D7" s="15"/>
      <c r="E7" s="15"/>
      <c r="F7" s="16"/>
      <c r="G7" s="15"/>
      <c r="H7" s="15"/>
      <c r="I7" s="15"/>
    </row>
    <row r="8" ht="21" customHeight="1" spans="1:9" x14ac:dyDescent="0.25">
      <c r="A8" s="7" t="s">
        <v>5</v>
      </c>
      <c r="B8" s="17"/>
      <c r="C8" s="17"/>
      <c r="D8" s="18"/>
      <c r="E8" s="18"/>
      <c r="F8" s="19"/>
      <c r="G8" s="18"/>
      <c r="H8" s="18"/>
      <c r="I8" s="18"/>
    </row>
    <row r="9" ht="6" customHeight="1" spans="1:9" x14ac:dyDescent="0.25">
      <c r="A9" s="17"/>
      <c r="B9" s="17"/>
      <c r="C9" s="17"/>
      <c r="D9" s="19"/>
      <c r="E9" s="19"/>
      <c r="F9" s="19"/>
      <c r="G9" s="19"/>
      <c r="H9" s="19"/>
      <c r="I9" s="19"/>
    </row>
    <row r="10" ht="54" customHeight="1" spans="1:9" x14ac:dyDescent="0.25">
      <c r="A10" s="20" t="s">
        <v>6</v>
      </c>
      <c r="B10" s="21" t="s">
        <v>7</v>
      </c>
      <c r="C10" s="21" t="s">
        <v>8</v>
      </c>
      <c r="D10" s="20" t="s">
        <v>9</v>
      </c>
      <c r="E10" s="20" t="s">
        <v>10</v>
      </c>
      <c r="F10" s="20" t="s">
        <v>11</v>
      </c>
      <c r="G10" s="20" t="s">
        <v>12</v>
      </c>
      <c r="H10" s="20" t="s">
        <v>13</v>
      </c>
      <c r="I10" s="20" t="s">
        <v>14</v>
      </c>
    </row>
    <row r="11" ht="28" customHeight="1" spans="1:9" x14ac:dyDescent="0.25">
      <c r="A11" s="22">
        <v>1</v>
      </c>
      <c r="B11" s="23" t="s">
        <v>15</v>
      </c>
      <c r="C11" s="24" t="s">
        <v>16</v>
      </c>
      <c r="D11" s="25">
        <v>1</v>
      </c>
      <c r="E11" s="26" t="s">
        <v>17</v>
      </c>
      <c r="F11" s="27">
        <f>90000000*1.28</f>
        <v>115200000</v>
      </c>
      <c r="G11" s="27">
        <f>D11*F11</f>
        <v>115200000</v>
      </c>
      <c r="H11" s="27"/>
      <c r="I11" s="27">
        <f>H11+G11</f>
        <v>115200000</v>
      </c>
    </row>
    <row r="12" ht="28" customHeight="1" spans="1:9" x14ac:dyDescent="0.25">
      <c r="A12" s="28">
        <v>2</v>
      </c>
      <c r="B12" s="23" t="s">
        <v>18</v>
      </c>
      <c r="C12" s="24" t="s">
        <v>19</v>
      </c>
      <c r="D12" s="29">
        <v>1</v>
      </c>
      <c r="E12" s="26" t="s">
        <v>17</v>
      </c>
      <c r="F12" s="27">
        <f>ROUND(28435000*1.05,-3)</f>
        <v>29857000</v>
      </c>
      <c r="G12" s="30">
        <f>D12*F12</f>
        <v>29857000</v>
      </c>
      <c r="H12" s="30"/>
      <c r="I12" s="30">
        <f>H12+G12</f>
        <v>29857000</v>
      </c>
    </row>
    <row r="13" ht="33.95" customHeight="1" spans="1:9" x14ac:dyDescent="0.25">
      <c r="A13" s="31" t="s">
        <v>20</v>
      </c>
      <c r="B13" s="31"/>
      <c r="C13" s="31"/>
      <c r="D13" s="31"/>
      <c r="E13" s="31"/>
      <c r="F13" s="31"/>
      <c r="G13" s="31">
        <f>SUM(G11:G12)</f>
        <v>145057000</v>
      </c>
      <c r="H13" s="31">
        <f>SUM(H11:H12)</f>
        <v>0</v>
      </c>
      <c r="I13" s="31">
        <f>H13+G13</f>
        <v>145057000</v>
      </c>
    </row>
    <row r="14" ht="21.75" customHeight="1" spans="1:9" x14ac:dyDescent="0.25">
      <c r="A14" s="32" t="s">
        <v>21</v>
      </c>
      <c r="B14" s="32"/>
      <c r="C14" s="33"/>
      <c r="D14" s="18"/>
      <c r="E14" s="18"/>
      <c r="F14" s="18"/>
      <c r="G14" s="18"/>
      <c r="H14" s="18"/>
      <c r="I14" s="18"/>
    </row>
    <row r="15" ht="6.75" customHeight="1" spans="1:9" x14ac:dyDescent="0.25">
      <c r="A15" s="34"/>
      <c r="B15" s="33"/>
      <c r="C15" s="34"/>
      <c r="D15" s="18"/>
      <c r="E15" s="18"/>
      <c r="F15" s="18"/>
      <c r="G15" s="18"/>
      <c r="H15" s="18"/>
      <c r="I15" s="18"/>
    </row>
    <row r="16" ht="15.95" customHeight="1" spans="1:9" x14ac:dyDescent="0.25">
      <c r="A16" s="35">
        <v>1</v>
      </c>
      <c r="B16" s="36" t="s">
        <v>22</v>
      </c>
      <c r="C16" s="36"/>
      <c r="D16" s="7"/>
      <c r="E16" s="37"/>
      <c r="F16" s="37"/>
      <c r="G16" s="37"/>
      <c r="H16" s="37"/>
      <c r="I16" s="37"/>
    </row>
    <row r="17" ht="15.95" customHeight="1" spans="1:9" x14ac:dyDescent="0.25">
      <c r="A17" s="35">
        <v>2</v>
      </c>
      <c r="B17" s="38" t="s">
        <v>23</v>
      </c>
      <c r="C17" s="38"/>
      <c r="D17" s="7"/>
      <c r="E17" s="37"/>
      <c r="F17" s="37"/>
      <c r="G17" s="37"/>
      <c r="H17" s="37"/>
      <c r="I17" s="37"/>
    </row>
    <row r="18" ht="15.95" customHeight="1" spans="1:9" x14ac:dyDescent="0.25">
      <c r="A18" s="35">
        <v>3</v>
      </c>
      <c r="B18" s="36" t="s">
        <v>24</v>
      </c>
      <c r="C18" s="36"/>
      <c r="D18" s="35"/>
      <c r="E18" s="37"/>
      <c r="F18" s="37"/>
      <c r="G18" s="37"/>
      <c r="H18" s="39"/>
      <c r="I18" s="39"/>
    </row>
    <row r="19" ht="15.95" customHeight="1" spans="1:9" x14ac:dyDescent="0.25">
      <c r="A19" s="35">
        <v>4</v>
      </c>
      <c r="B19" s="38" t="s">
        <v>25</v>
      </c>
      <c r="C19" s="38"/>
      <c r="D19" s="35"/>
      <c r="E19" s="37"/>
      <c r="F19" s="37"/>
      <c r="G19" s="37"/>
      <c r="H19" s="37"/>
      <c r="I19" s="37"/>
    </row>
    <row r="20" ht="21" customHeight="1" spans="1:9" x14ac:dyDescent="0.25">
      <c r="A20" s="35"/>
      <c r="B20" s="7" t="s">
        <v>26</v>
      </c>
      <c r="C20" s="40"/>
      <c r="D20" s="40"/>
      <c r="E20" s="40"/>
      <c r="F20" s="40"/>
      <c r="G20" s="40"/>
      <c r="H20" s="40"/>
      <c r="I20" s="40"/>
    </row>
    <row r="21" ht="15.95" customHeight="1" spans="1:9" x14ac:dyDescent="0.25">
      <c r="A21" s="35">
        <v>6</v>
      </c>
      <c r="B21" s="36" t="s">
        <v>27</v>
      </c>
      <c r="C21" s="36"/>
      <c r="D21" s="35"/>
      <c r="E21" s="37"/>
      <c r="F21" s="37"/>
      <c r="G21" s="37"/>
      <c r="H21" s="37"/>
      <c r="I21" s="37"/>
    </row>
    <row r="22" ht="15.95" customHeight="1" spans="1:9" x14ac:dyDescent="0.25">
      <c r="A22" s="35"/>
      <c r="B22" s="36" t="s">
        <v>28</v>
      </c>
      <c r="C22" s="36"/>
      <c r="D22" s="35"/>
      <c r="E22" s="37"/>
      <c r="F22" s="37"/>
      <c r="G22" s="37"/>
      <c r="H22" s="37"/>
      <c r="I22" s="37"/>
    </row>
    <row r="23" ht="15.95" customHeight="1" spans="1:9" x14ac:dyDescent="0.25">
      <c r="A23" s="35"/>
      <c r="B23" s="36" t="s">
        <v>29</v>
      </c>
      <c r="C23" s="36"/>
      <c r="D23" s="35"/>
      <c r="E23" s="37"/>
      <c r="F23" s="37"/>
      <c r="G23" s="37"/>
      <c r="H23" s="37"/>
      <c r="I23" s="37"/>
    </row>
    <row r="24" ht="15.95" customHeight="1" spans="1:9" x14ac:dyDescent="0.25">
      <c r="A24" s="35">
        <v>7</v>
      </c>
      <c r="B24" s="38" t="s">
        <v>30</v>
      </c>
      <c r="C24" s="38"/>
      <c r="D24" s="35"/>
      <c r="E24" s="37"/>
      <c r="F24" s="37"/>
      <c r="G24" s="37"/>
      <c r="H24" s="37"/>
      <c r="I24" s="37"/>
    </row>
    <row r="25" ht="15.95" customHeight="1" spans="1:9" x14ac:dyDescent="0.25">
      <c r="A25" s="35"/>
      <c r="B25" s="41" t="s">
        <v>31</v>
      </c>
      <c r="C25" s="41"/>
      <c r="D25" s="35"/>
      <c r="E25" s="37"/>
      <c r="F25" s="37"/>
      <c r="G25" s="37"/>
      <c r="H25" s="37"/>
      <c r="I25" s="37"/>
    </row>
    <row r="26" ht="15.95" customHeight="1" spans="1:9" x14ac:dyDescent="0.25">
      <c r="A26" s="35"/>
      <c r="B26" s="41" t="s">
        <v>32</v>
      </c>
      <c r="C26" s="41"/>
      <c r="D26" s="35"/>
      <c r="E26" s="37"/>
      <c r="F26" s="37"/>
      <c r="G26" s="37"/>
      <c r="H26" s="37"/>
      <c r="I26" s="37"/>
    </row>
    <row r="27" ht="8.25" customHeight="1" spans="1:9" x14ac:dyDescent="0.25">
      <c r="A27" s="35"/>
      <c r="B27" s="7"/>
      <c r="C27" s="41"/>
      <c r="D27" s="35"/>
      <c r="E27" s="37"/>
      <c r="F27" s="37"/>
      <c r="G27" s="37"/>
      <c r="H27" s="37"/>
      <c r="I27" s="37"/>
    </row>
    <row r="28" ht="8.25" customHeight="1" spans="1:9" x14ac:dyDescent="0.25">
      <c r="A28" s="35"/>
      <c r="B28" s="7"/>
      <c r="C28" s="41"/>
      <c r="D28" s="35"/>
      <c r="E28" s="37"/>
      <c r="F28" s="37"/>
      <c r="G28" s="37"/>
      <c r="H28" s="37"/>
      <c r="I28" s="37"/>
    </row>
    <row r="29" ht="15.95" customHeight="1" spans="1:9" x14ac:dyDescent="0.25">
      <c r="A29" s="42" t="s">
        <v>33</v>
      </c>
      <c r="B29" s="43"/>
      <c r="C29" s="42"/>
      <c r="D29" s="43"/>
      <c r="E29" s="17"/>
      <c r="F29" s="17"/>
      <c r="G29" s="18" t="s">
        <v>34</v>
      </c>
      <c r="H29" s="18"/>
      <c r="I29" s="18"/>
    </row>
    <row r="30" ht="12.95" customHeight="1" spans="1:9" x14ac:dyDescent="0.25">
      <c r="A30" s="17"/>
      <c r="B30" s="43"/>
      <c r="C30" s="17"/>
      <c r="D30" s="42"/>
      <c r="E30" s="17"/>
      <c r="F30" s="17"/>
      <c r="G30" s="18"/>
      <c r="H30" s="19"/>
      <c r="I30" s="18"/>
    </row>
    <row r="31" ht="3.4" customHeight="1" spans="1:9" x14ac:dyDescent="0.25">
      <c r="A31" s="17"/>
      <c r="B31" s="43"/>
      <c r="C31" s="17"/>
      <c r="D31" s="42"/>
      <c r="E31" s="17"/>
      <c r="F31" s="17"/>
      <c r="G31" s="18"/>
      <c r="H31" s="19"/>
      <c r="I31" s="18"/>
    </row>
    <row r="32" ht="6.75" customHeight="1" spans="1:9" x14ac:dyDescent="0.25">
      <c r="A32" s="17"/>
      <c r="B32" s="43"/>
      <c r="C32" s="17"/>
      <c r="D32" s="17"/>
      <c r="E32" s="17"/>
      <c r="F32" s="17"/>
      <c r="G32" s="19"/>
      <c r="H32" s="43"/>
      <c r="I32" s="43"/>
    </row>
    <row r="33" ht="39.95" customHeight="1" spans="1:9" x14ac:dyDescent="0.25">
      <c r="A33" s="44"/>
      <c r="B33" s="44"/>
      <c r="C33" s="44"/>
      <c r="D33" s="45"/>
      <c r="E33" s="12"/>
      <c r="F33" s="12"/>
      <c r="G33" s="12"/>
      <c r="H33" s="44"/>
      <c r="I33" s="44"/>
    </row>
    <row r="34" ht="15" customHeight="1" spans="1:9" x14ac:dyDescent="0.25">
      <c r="A34" s="46" t="s">
        <v>35</v>
      </c>
      <c r="B34" s="44"/>
      <c r="C34" s="46"/>
      <c r="D34" s="44"/>
      <c r="E34" s="12"/>
      <c r="F34" s="12"/>
      <c r="G34" s="12"/>
      <c r="H34" s="47"/>
      <c r="I34" s="47"/>
    </row>
    <row r="35" ht="2.45" customHeight="1" spans="1:9" x14ac:dyDescent="0.25">
      <c r="A35" s="43"/>
      <c r="B35" s="43"/>
      <c r="C35" s="43"/>
      <c r="D35" s="43"/>
      <c r="E35" s="17"/>
      <c r="F35" s="17"/>
      <c r="G35" s="48"/>
      <c r="H35" s="19"/>
      <c r="I35" s="48"/>
    </row>
    <row r="36" ht="15" customHeight="1" spans="1:9" x14ac:dyDescent="0.25">
      <c r="A36" s="49" t="s">
        <v>36</v>
      </c>
      <c r="B36" s="43"/>
      <c r="C36" s="50"/>
      <c r="D36" s="43"/>
      <c r="E36" s="17"/>
      <c r="F36" s="17"/>
      <c r="G36" s="48"/>
      <c r="H36" s="19"/>
      <c r="I36" s="48"/>
    </row>
    <row r="37" ht="15" customHeight="1" spans="1:9" x14ac:dyDescent="0.25">
      <c r="A37" s="51" t="s">
        <v>37</v>
      </c>
      <c r="B37" s="43"/>
      <c r="C37" s="52"/>
      <c r="D37" s="42"/>
      <c r="E37" s="17"/>
      <c r="F37" s="17"/>
      <c r="G37" s="48"/>
      <c r="H37" s="19"/>
      <c r="I37" s="48"/>
    </row>
    <row r="38" ht="15.75" customHeight="1" spans="1:9" x14ac:dyDescent="0.25">
      <c r="A38" s="51" t="s">
        <v>38</v>
      </c>
      <c r="B38" s="43"/>
      <c r="C38" s="53"/>
      <c r="D38" s="42"/>
      <c r="E38" s="43"/>
      <c r="F38" s="43"/>
      <c r="G38" s="48"/>
      <c r="H38" s="48"/>
      <c r="I38" s="48"/>
    </row>
  </sheetData>
  <mergeCells count="5">
    <mergeCell ref="A1:I1"/>
    <mergeCell ref="A2:I2"/>
    <mergeCell ref="H3:I3"/>
    <mergeCell ref="A6:I6"/>
    <mergeCell ref="A13:F13"/>
  </mergeCells>
  <hyperlinks>
    <hyperlink ref="A38" r:id="rId1"/>
  </hyperlinks>
  <pageMargins left="0.354330708661417" right="0.236220472440945" top="0.31496062992126" bottom="0.196850393700787" header="0.236220472440945" footer="0.15748031496063"/>
  <pageSetup paperSize="9" orientation="portrait" horizontalDpi="4294967295" verticalDpi="4294967295" scale="70" fitToWidth="1" fitToHeight="0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Vmware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2026-10-23T23:43:45Z</dcterms:created>
  <dcterms:modified xsi:type="dcterms:W3CDTF">2026-10-23T23:43:45Z</dcterms:modified>
</cp:coreProperties>
</file>